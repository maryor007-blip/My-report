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nnak 2023\GSPD\Training Department\2023 Training_Kg Cham\Data and Excel\"/>
    </mc:Choice>
  </mc:AlternateContent>
  <xr:revisionPtr revIDLastSave="0" documentId="8_{3907CB12-32D5-4714-9544-61D9EC2AAE69}" xr6:coauthVersionLast="43" xr6:coauthVersionMax="43" xr10:uidLastSave="{00000000-0000-0000-0000-000000000000}"/>
  <bookViews>
    <workbookView xWindow="-110" yWindow="-110" windowWidth="19420" windowHeight="11620" firstSheet="1" activeTab="4" xr2:uid="{08935242-B042-4627-9AEC-7F4CFFA24B3A}"/>
  </bookViews>
  <sheets>
    <sheet name="3F pop (15-64) DR" sheetId="1" r:id="rId1"/>
    <sheet name="Projected TFR" sheetId="4" r:id="rId2"/>
    <sheet name="Projected LE" sheetId="5" r:id="rId3"/>
    <sheet name="Projected AGR" sheetId="6" r:id="rId4"/>
    <sheet name="Projected Pop" sheetId="3" r:id="rId5"/>
    <sheet name="Projected Pop (2)" sheetId="8" r:id="rId6"/>
    <sheet name="Sheet2" sheetId="9" r:id="rId7"/>
    <sheet name="template 1" sheetId="2" r:id="rId8"/>
    <sheet name="Note2 projections" sheetId="7" r:id="rId9"/>
  </sheets>
  <definedNames>
    <definedName name="_xlnm.Print_Area" localSheetId="0">'3F pop (15-64) DR'!$A$1:$L$10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20" i="3" l="1"/>
  <c r="H6" i="2" l="1"/>
  <c r="H4" i="2"/>
  <c r="I4" i="2"/>
  <c r="J4" i="2"/>
  <c r="K4" i="2"/>
  <c r="L4" i="2"/>
  <c r="H5" i="2"/>
  <c r="I5" i="2"/>
  <c r="J5" i="2"/>
  <c r="K5" i="2"/>
  <c r="L5" i="2"/>
  <c r="I6" i="2"/>
  <c r="J6" i="2"/>
  <c r="K6" i="2"/>
  <c r="L6" i="2" s="1"/>
  <c r="H7" i="2"/>
  <c r="I7" i="2"/>
  <c r="J7" i="2"/>
  <c r="K7" i="2"/>
  <c r="L7" i="2" s="1"/>
  <c r="H8" i="2"/>
  <c r="I8" i="2"/>
  <c r="J8" i="2"/>
  <c r="K8" i="2"/>
  <c r="L8" i="2" s="1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 s="1"/>
  <c r="H14" i="2"/>
  <c r="I14" i="2"/>
  <c r="J14" i="2"/>
  <c r="K14" i="2"/>
  <c r="L14" i="2" s="1"/>
  <c r="H15" i="2"/>
  <c r="I15" i="2"/>
  <c r="J15" i="2"/>
  <c r="K15" i="2"/>
  <c r="L15" i="2" s="1"/>
  <c r="H16" i="2"/>
  <c r="I16" i="2"/>
  <c r="J16" i="2"/>
  <c r="K16" i="2"/>
  <c r="L16" i="2" s="1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 s="1"/>
  <c r="H22" i="2"/>
  <c r="I22" i="2"/>
  <c r="J22" i="2"/>
  <c r="K22" i="2"/>
  <c r="L22" i="2" s="1"/>
  <c r="H23" i="2"/>
  <c r="I23" i="2"/>
  <c r="J23" i="2"/>
  <c r="K23" i="2"/>
  <c r="L23" i="2" s="1"/>
  <c r="H24" i="2"/>
  <c r="I24" i="2"/>
  <c r="J24" i="2"/>
  <c r="K24" i="2"/>
  <c r="L24" i="2" s="1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H28" i="2"/>
  <c r="I28" i="2"/>
  <c r="J28" i="2"/>
  <c r="K28" i="2"/>
  <c r="L28" i="2"/>
  <c r="H29" i="2"/>
  <c r="I29" i="2"/>
  <c r="J29" i="2"/>
  <c r="K29" i="2"/>
  <c r="L29" i="2"/>
  <c r="H30" i="2"/>
  <c r="I30" i="2"/>
  <c r="J30" i="2"/>
  <c r="K30" i="2"/>
  <c r="L30" i="2" s="1"/>
  <c r="H31" i="2"/>
  <c r="I31" i="2"/>
  <c r="J31" i="2"/>
  <c r="K31" i="2"/>
  <c r="L31" i="2" s="1"/>
  <c r="H32" i="2"/>
  <c r="I32" i="2"/>
  <c r="J32" i="2"/>
  <c r="K32" i="2"/>
  <c r="L32" i="2" s="1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L3" i="2"/>
  <c r="K3" i="2"/>
  <c r="J3" i="2"/>
  <c r="I3" i="2"/>
  <c r="H3" i="2"/>
  <c r="L6" i="1"/>
  <c r="Z10" i="1"/>
  <c r="AA10" i="1" s="1"/>
  <c r="Y10" i="1"/>
  <c r="X10" i="1"/>
  <c r="S10" i="1"/>
  <c r="R10" i="1"/>
  <c r="Q10" i="1"/>
  <c r="P10" i="1"/>
  <c r="L10" i="1"/>
  <c r="F10" i="1"/>
  <c r="Z9" i="1"/>
  <c r="AA9" i="1" s="1"/>
  <c r="Y9" i="1"/>
  <c r="X9" i="1"/>
  <c r="S9" i="1"/>
  <c r="R9" i="1"/>
  <c r="Q9" i="1"/>
  <c r="P9" i="1"/>
  <c r="L9" i="1"/>
  <c r="F9" i="1"/>
  <c r="Z8" i="1"/>
  <c r="AA8" i="1" s="1"/>
  <c r="Y8" i="1"/>
  <c r="X8" i="1"/>
  <c r="S8" i="1"/>
  <c r="R8" i="1"/>
  <c r="Q8" i="1"/>
  <c r="P8" i="1"/>
  <c r="L8" i="1"/>
  <c r="F8" i="1"/>
  <c r="Z7" i="1"/>
  <c r="AA7" i="1" s="1"/>
  <c r="Y7" i="1"/>
  <c r="X7" i="1"/>
  <c r="S7" i="1"/>
  <c r="R7" i="1"/>
  <c r="Q7" i="1"/>
  <c r="P7" i="1"/>
  <c r="L7" i="1"/>
  <c r="F7" i="1"/>
  <c r="Z6" i="1"/>
  <c r="AA6" i="1" s="1"/>
  <c r="Y6" i="1"/>
  <c r="X6" i="1"/>
  <c r="S6" i="1"/>
  <c r="R6" i="1"/>
  <c r="Q6" i="1"/>
  <c r="P6" i="1"/>
  <c r="F6" i="1"/>
  <c r="Z5" i="1"/>
  <c r="AA5" i="1" s="1"/>
  <c r="Y5" i="1"/>
  <c r="X5" i="1"/>
  <c r="S5" i="1"/>
  <c r="R5" i="1"/>
  <c r="Q5" i="1"/>
  <c r="P5" i="1"/>
  <c r="L5" i="1"/>
  <c r="F5" i="1"/>
  <c r="Z4" i="1"/>
  <c r="AA4" i="1" s="1"/>
  <c r="Y4" i="1"/>
  <c r="X4" i="1"/>
  <c r="S4" i="1"/>
  <c r="R4" i="1"/>
  <c r="Q4" i="1"/>
  <c r="P4" i="1"/>
  <c r="L4" i="1"/>
  <c r="F4" i="1"/>
  <c r="Z3" i="1"/>
  <c r="AA3" i="1" s="1"/>
  <c r="Y3" i="1"/>
  <c r="X3" i="1"/>
  <c r="S3" i="1"/>
  <c r="R3" i="1"/>
  <c r="Q3" i="1"/>
  <c r="P3" i="1"/>
  <c r="L3" i="1"/>
  <c r="F3" i="1"/>
</calcChain>
</file>

<file path=xl/sharedStrings.xml><?xml version="1.0" encoding="utf-8"?>
<sst xmlns="http://schemas.openxmlformats.org/spreadsheetml/2006/main" count="95" uniqueCount="48">
  <si>
    <t xml:space="preserve"> ​TFR</t>
  </si>
  <si>
    <t>ចំនួនប្រជាជន (TFR អាច)</t>
  </si>
  <si>
    <t>ចំនួនប្រជាជន (TFR ថយយឺត)</t>
  </si>
  <si>
    <t>C. ផលធៀបនិងភាគរយអ្នកក្នុងបន្ទុក៖ វ័យធ្វើការ ១៥-៦៤ឆ្នាំ និង TFR អាច</t>
  </si>
  <si>
    <t>របាយភាគរយវ័យក្នុងបន្ទុក</t>
  </si>
  <si>
    <t>TFR និងផលធៀបក្នុងមនុស្សម្នាក់</t>
  </si>
  <si>
    <t>D. ផលធៀបនិងភាគរយអ្នកក្នុងបន្ទុក៖ វ័យធ្វើការ ១៥-៦៤ឆ្នាំ និង TFR ថយយឺត</t>
  </si>
  <si>
    <t>TFR អាច</t>
  </si>
  <si>
    <t xml:space="preserve"> ក្រោម១៥ឆ្នាំ</t>
  </si>
  <si>
    <t>១៥-៦៤ឆ្នាំ</t>
  </si>
  <si>
    <t>៦៥ឆ្នាំឡើង</t>
  </si>
  <si>
    <t>TFR ថយយឺត</t>
  </si>
  <si>
    <t>ផលធៀបវ័យធ្វើការ</t>
  </si>
  <si>
    <t>ផលធៀបវ័យក្នុងបន្ទុក</t>
  </si>
  <si>
    <t>%វ័យក្រោម១៥ឆ្នាំ</t>
  </si>
  <si>
    <t>%វ័យ៦៥ឆ្នាំឡើង</t>
  </si>
  <si>
    <t>DR ខ្ពស់បំផុត</t>
  </si>
  <si>
    <t>WA ទាបបំផុត</t>
  </si>
  <si>
    <t>ខេត្ត</t>
  </si>
  <si>
    <t>TFR Scenario</t>
  </si>
  <si>
    <t>TFR</t>
  </si>
  <si>
    <t>សរុប</t>
  </si>
  <si>
    <t>គណនាសម្រាប់ក្រាភិក</t>
  </si>
  <si>
    <t xml:space="preserve"> </t>
  </si>
  <si>
    <t>From Table 19 in 1998 Pop Projection and file from 2019 populationprojection</t>
  </si>
  <si>
    <t>From Table 12 in 1998 Pop Projection and file from 2019 populationprojection</t>
  </si>
  <si>
    <t>From Table 11 in 1998 Pop Projection and file from 2019 populationprojection</t>
  </si>
  <si>
    <t>From Table 2 in Appendix in 1998 Pop Projection and file from 2019 populationprojection</t>
  </si>
  <si>
    <t>2 projection files are needed: 1998 and 2019</t>
  </si>
  <si>
    <t xml:space="preserve">The overlapped 2019 and 2020 to be replaced with 2019 proejction </t>
  </si>
  <si>
    <t>Need to examine the trends how they are matched. If huge difference, adjustment is needed</t>
  </si>
  <si>
    <t>Life Exepectancy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</si>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</sst>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[$-12000425]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Khmer OS Siemreap-Kh Auto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2" fontId="1" fillId="0" borderId="0" xfId="0" applyNumberFormat="1" applyFont="1"/>
    <xf numFmtId="3" fontId="1" fillId="0" borderId="0" xfId="0" applyNumberFormat="1" applyFont="1"/>
    <xf numFmtId="3" fontId="1" fillId="3" borderId="0" xfId="0" applyNumberFormat="1" applyFont="1" applyFill="1"/>
    <xf numFmtId="3" fontId="1" fillId="2" borderId="0" xfId="0" applyNumberFormat="1" applyFont="1" applyFill="1"/>
    <xf numFmtId="4" fontId="1" fillId="0" borderId="0" xfId="0" applyNumberFormat="1" applyFont="1"/>
    <xf numFmtId="4" fontId="1" fillId="2" borderId="0" xfId="0" applyNumberFormat="1" applyFont="1" applyFill="1"/>
    <xf numFmtId="164" fontId="1" fillId="2" borderId="0" xfId="0" applyNumberFormat="1" applyFont="1" applyFill="1"/>
    <xf numFmtId="165" fontId="1" fillId="0" borderId="0" xfId="0" applyNumberFormat="1" applyFont="1"/>
    <xf numFmtId="166" fontId="1" fillId="0" borderId="0" xfId="0" applyNumberFormat="1" applyFont="1"/>
    <xf numFmtId="0" fontId="0" fillId="3" borderId="0" xfId="0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6" borderId="0" xfId="0" applyNumberFormat="1" applyFont="1" applyFill="1"/>
    <xf numFmtId="0" fontId="0" fillId="0" borderId="0" xfId="0" quotePrefix="1"/>
    <xf numFmtId="0" fontId="2" fillId="0" borderId="1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69930772076309E-2"/>
          <c:y val="0.19647221104661186"/>
          <c:w val="0.80585131556542011"/>
          <c:h val="0.520409602084411"/>
        </c:manualLayout>
      </c:layout>
      <c:barChart>
        <c:barDir val="col"/>
        <c:grouping val="percentStacked"/>
        <c:varyColors val="0"/>
        <c:ser>
          <c:idx val="1"/>
          <c:order val="1"/>
          <c:tx>
            <c:strRef>
              <c:f>'3F pop (15-64) DR'!$C$2</c:f>
              <c:strCache>
                <c:ptCount val="1"/>
                <c:pt idx="0">
                  <c:v> ក្រោម១៥ឆ្នាំ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DR'!$A$3:$A$10</c15:sqref>
                  </c15:fullRef>
                </c:ext>
              </c:extLst>
              <c:f>'3F pop (15-64) DR'!$A$4:$A$10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DR'!$C$3:$C$10</c15:sqref>
                  </c15:fullRef>
                </c:ext>
              </c:extLst>
              <c:f>'3F pop (15-64) DR'!$C$4:$C$10</c:f>
              <c:numCache>
                <c:formatCode>#.##0</c:formatCode>
                <c:ptCount val="7"/>
                <c:pt idx="0">
                  <c:v>4765.3130000000001</c:v>
                </c:pt>
                <c:pt idx="1">
                  <c:v>4642.8879999999999</c:v>
                </c:pt>
                <c:pt idx="2">
                  <c:v>4597.6390000000001</c:v>
                </c:pt>
                <c:pt idx="3">
                  <c:v>4406.7960000000003</c:v>
                </c:pt>
                <c:pt idx="4">
                  <c:v>4084.7460000000001</c:v>
                </c:pt>
                <c:pt idx="5">
                  <c:v>3732.2959999999998</c:v>
                </c:pt>
                <c:pt idx="6">
                  <c:v>3362.203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F-4E54-A4B0-3A7914D27941}"/>
            </c:ext>
          </c:extLst>
        </c:ser>
        <c:ser>
          <c:idx val="2"/>
          <c:order val="2"/>
          <c:tx>
            <c:strRef>
              <c:f>'3F pop (15-64) DR'!$D$2</c:f>
              <c:strCache>
                <c:ptCount val="1"/>
                <c:pt idx="0">
                  <c:v>១៥-៦៤ឆ្នាំ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DR'!$A$3:$A$10</c15:sqref>
                  </c15:fullRef>
                </c:ext>
              </c:extLst>
              <c:f>'3F pop (15-64) DR'!$A$4:$A$10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DR'!$D$3:$D$10</c15:sqref>
                  </c15:fullRef>
                </c:ext>
              </c:extLst>
              <c:f>'3F pop (15-64) DR'!$D$4:$D$10</c:f>
              <c:numCache>
                <c:formatCode>#.##0</c:formatCode>
                <c:ptCount val="7"/>
                <c:pt idx="0">
                  <c:v>10593.855</c:v>
                </c:pt>
                <c:pt idx="1">
                  <c:v>11686.781000000001</c:v>
                </c:pt>
                <c:pt idx="2">
                  <c:v>12486.788</c:v>
                </c:pt>
                <c:pt idx="3">
                  <c:v>13278.894</c:v>
                </c:pt>
                <c:pt idx="4">
                  <c:v>14049.12</c:v>
                </c:pt>
                <c:pt idx="5">
                  <c:v>14663.593999999999</c:v>
                </c:pt>
                <c:pt idx="6">
                  <c:v>14661.213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F-4E54-A4B0-3A7914D27941}"/>
            </c:ext>
          </c:extLst>
        </c:ser>
        <c:ser>
          <c:idx val="3"/>
          <c:order val="3"/>
          <c:tx>
            <c:strRef>
              <c:f>'3F pop (15-64) DR'!$E$2</c:f>
              <c:strCache>
                <c:ptCount val="1"/>
                <c:pt idx="0">
                  <c:v>៦៥ឆ្នាំឡើង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DR'!$A$3:$A$10</c15:sqref>
                  </c15:fullRef>
                </c:ext>
              </c:extLst>
              <c:f>'3F pop (15-64) DR'!$A$4:$A$10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DR'!$E$3:$E$10</c15:sqref>
                  </c15:fullRef>
                </c:ext>
              </c:extLst>
              <c:f>'3F pop (15-64) DR'!$E$4:$E$10</c:f>
              <c:numCache>
                <c:formatCode>#.##0</c:formatCode>
                <c:ptCount val="7"/>
                <c:pt idx="0">
                  <c:v>978.92</c:v>
                </c:pt>
                <c:pt idx="1">
                  <c:v>1248.0930000000001</c:v>
                </c:pt>
                <c:pt idx="2">
                  <c:v>1651.548</c:v>
                </c:pt>
                <c:pt idx="3">
                  <c:v>2077.0509999999999</c:v>
                </c:pt>
                <c:pt idx="4">
                  <c:v>2491.3580000000002</c:v>
                </c:pt>
                <c:pt idx="5">
                  <c:v>2887.5279999999998</c:v>
                </c:pt>
                <c:pt idx="6">
                  <c:v>3705.03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F-4E54-A4B0-3A7914D2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967855"/>
        <c:axId val="2051433567"/>
      </c:barChart>
      <c:lineChart>
        <c:grouping val="standard"/>
        <c:varyColors val="0"/>
        <c:ser>
          <c:idx val="0"/>
          <c:order val="0"/>
          <c:tx>
            <c:strRef>
              <c:f>'3F pop (15-64) DR'!$B$2</c:f>
              <c:strCache>
                <c:ptCount val="1"/>
                <c:pt idx="0">
                  <c:v>TFR អាច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DR'!$A$3:$A$10</c15:sqref>
                  </c15:fullRef>
                </c:ext>
              </c:extLst>
              <c:f>'3F pop (15-64) DR'!$A$4:$A$10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DR'!$B$3:$B$10</c15:sqref>
                  </c15:fullRef>
                </c:ext>
              </c:extLst>
              <c:f>'3F pop (15-64) DR'!$B$4:$B$10</c:f>
              <c:numCache>
                <c:formatCode>0,00</c:formatCode>
                <c:ptCount val="7"/>
                <c:pt idx="0">
                  <c:v>2.41</c:v>
                </c:pt>
                <c:pt idx="1">
                  <c:v>2.16</c:v>
                </c:pt>
                <c:pt idx="2">
                  <c:v>1.94</c:v>
                </c:pt>
                <c:pt idx="3">
                  <c:v>1.74</c:v>
                </c:pt>
                <c:pt idx="4">
                  <c:v>1.56</c:v>
                </c:pt>
                <c:pt idx="5">
                  <c:v>1.4</c:v>
                </c:pt>
                <c:pt idx="6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F-4E54-A4B0-3A7914D2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940847"/>
        <c:axId val="1910392031"/>
      </c:lineChart>
      <c:valAx>
        <c:axId val="205143356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7855"/>
        <c:crosses val="max"/>
        <c:crossBetween val="between"/>
      </c:valAx>
      <c:catAx>
        <c:axId val="205696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1433567"/>
        <c:crosses val="autoZero"/>
        <c:auto val="1"/>
        <c:lblAlgn val="ctr"/>
        <c:lblOffset val="100"/>
        <c:noMultiLvlLbl val="0"/>
      </c:catAx>
      <c:valAx>
        <c:axId val="191039203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918940847"/>
        <c:crosses val="autoZero"/>
        <c:crossBetween val="between"/>
      </c:valAx>
      <c:catAx>
        <c:axId val="191894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0392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69930772076309E-2"/>
          <c:y val="0.19647221104661186"/>
          <c:w val="0.80585131556542011"/>
          <c:h val="0.520409602084411"/>
        </c:manualLayout>
      </c:layout>
      <c:barChart>
        <c:barDir val="col"/>
        <c:grouping val="percentStacked"/>
        <c:varyColors val="0"/>
        <c:ser>
          <c:idx val="1"/>
          <c:order val="1"/>
          <c:tx>
            <c:strRef>
              <c:f>'3F pop (15-64) DR'!$I$2</c:f>
              <c:strCache>
                <c:ptCount val="1"/>
                <c:pt idx="0">
                  <c:v> ក្រោម១៥ឆ្នាំ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DR'!$G$3:$G$10</c15:sqref>
                  </c15:fullRef>
                </c:ext>
              </c:extLst>
              <c:f>'3F pop (15-64) DR'!$G$4:$G$10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DR'!$I$3:$I$10</c15:sqref>
                  </c15:fullRef>
                </c:ext>
              </c:extLst>
              <c:f>'3F pop (15-64) DR'!$I$4:$I$10</c:f>
              <c:numCache>
                <c:formatCode>#.##0</c:formatCode>
                <c:ptCount val="7"/>
                <c:pt idx="0">
                  <c:v>4769.3850000000002</c:v>
                </c:pt>
                <c:pt idx="1">
                  <c:v>4722.924</c:v>
                </c:pt>
                <c:pt idx="2">
                  <c:v>4825.4740000000002</c:v>
                </c:pt>
                <c:pt idx="3">
                  <c:v>4853.33</c:v>
                </c:pt>
                <c:pt idx="4">
                  <c:v>4763.634</c:v>
                </c:pt>
                <c:pt idx="5">
                  <c:v>4677.0339999999997</c:v>
                </c:pt>
                <c:pt idx="6">
                  <c:v>4627.5330000000004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5-4FCA-87B4-D5BB6ED41C49}"/>
            </c:ext>
          </c:extLst>
        </c:ser>
        <c:ser>
          <c:idx val="2"/>
          <c:order val="2"/>
          <c:tx>
            <c:strRef>
              <c:f>'3F pop (15-64) DR'!$J$2</c:f>
              <c:strCache>
                <c:ptCount val="1"/>
                <c:pt idx="0">
                  <c:v>១៥-៦៤ឆ្នាំ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DR'!$G$3:$G$10</c15:sqref>
                  </c15:fullRef>
                </c:ext>
              </c:extLst>
              <c:f>'3F pop (15-64) DR'!$G$4:$G$10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DR'!$J$3:$J$10</c15:sqref>
                  </c15:fullRef>
                </c:ext>
              </c:extLst>
              <c:f>'3F pop (15-64) DR'!$J$4:$J$10</c:f>
              <c:numCache>
                <c:formatCode>#.##0</c:formatCode>
                <c:ptCount val="7"/>
                <c:pt idx="0">
                  <c:v>10593.856</c:v>
                </c:pt>
                <c:pt idx="1">
                  <c:v>11686.784</c:v>
                </c:pt>
                <c:pt idx="2">
                  <c:v>12486.784</c:v>
                </c:pt>
                <c:pt idx="3">
                  <c:v>13282.939</c:v>
                </c:pt>
                <c:pt idx="4">
                  <c:v>14128.957</c:v>
                </c:pt>
                <c:pt idx="5">
                  <c:v>14891.064</c:v>
                </c:pt>
                <c:pt idx="6">
                  <c:v>15111.262000000001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5-4FCA-87B4-D5BB6ED41C49}"/>
            </c:ext>
          </c:extLst>
        </c:ser>
        <c:ser>
          <c:idx val="3"/>
          <c:order val="3"/>
          <c:tx>
            <c:strRef>
              <c:f>'3F pop (15-64) DR'!$K$2</c:f>
              <c:strCache>
                <c:ptCount val="1"/>
                <c:pt idx="0">
                  <c:v>៦៥ឆ្នាំឡើង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DR'!$G$3:$G$10</c15:sqref>
                  </c15:fullRef>
                </c:ext>
              </c:extLst>
              <c:f>'3F pop (15-64) DR'!$G$4:$G$10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DR'!$K$3:$K$10</c15:sqref>
                  </c15:fullRef>
                </c:ext>
              </c:extLst>
              <c:f>'3F pop (15-64) DR'!$K$4:$K$10</c:f>
              <c:numCache>
                <c:formatCode>#.##0</c:formatCode>
                <c:ptCount val="7"/>
                <c:pt idx="0">
                  <c:v>978.91700000000003</c:v>
                </c:pt>
                <c:pt idx="1">
                  <c:v>1248.087</c:v>
                </c:pt>
                <c:pt idx="2">
                  <c:v>1650.5519999999999</c:v>
                </c:pt>
                <c:pt idx="3">
                  <c:v>2077.056</c:v>
                </c:pt>
                <c:pt idx="4">
                  <c:v>2491.3609999999999</c:v>
                </c:pt>
                <c:pt idx="5">
                  <c:v>2887.53</c:v>
                </c:pt>
                <c:pt idx="6">
                  <c:v>3705.0329999999999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5-4FCA-87B4-D5BB6ED4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967855"/>
        <c:axId val="2051433567"/>
      </c:barChart>
      <c:lineChart>
        <c:grouping val="standard"/>
        <c:varyColors val="0"/>
        <c:ser>
          <c:idx val="0"/>
          <c:order val="0"/>
          <c:tx>
            <c:strRef>
              <c:f>'3F pop (15-64) DR'!$H$2</c:f>
              <c:strCache>
                <c:ptCount val="1"/>
                <c:pt idx="0">
                  <c:v>TFR ថយយឺត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'3F pop (15-64) DR'!$G$3:$G$10</c15:sqref>
                  </c15:fullRef>
                </c:ext>
              </c:extLst>
              <c:f>'3F pop (15-64) DR'!$G$4:$G$10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'3F pop (15-64) DR'!$H$3:$H$10</c15:sqref>
                  </c15:fullRef>
                </c:ext>
              </c:extLst>
              <c:f>'3F pop (15-64) DR'!$H$4:$H$10</c:f>
              <c:numCache>
                <c:formatCode>General</c:formatCode>
                <c:ptCount val="7"/>
                <c:pt idx="0">
                  <c:v>2.4700000000000002</c:v>
                </c:pt>
                <c:pt idx="1">
                  <c:v>2.3199999999999998</c:v>
                </c:pt>
                <c:pt idx="2">
                  <c:v>2.19</c:v>
                </c:pt>
                <c:pt idx="3">
                  <c:v>2.09</c:v>
                </c:pt>
                <c:pt idx="4">
                  <c:v>2.02</c:v>
                </c:pt>
                <c:pt idx="5">
                  <c:v>1.99</c:v>
                </c:pt>
                <c:pt idx="6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C5-4FCA-87B4-D5BB6ED4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940847"/>
        <c:axId val="1910392031"/>
      </c:lineChart>
      <c:valAx>
        <c:axId val="205143356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7855"/>
        <c:crosses val="max"/>
        <c:crossBetween val="between"/>
      </c:valAx>
      <c:catAx>
        <c:axId val="205696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1433567"/>
        <c:crosses val="autoZero"/>
        <c:auto val="1"/>
        <c:lblAlgn val="ctr"/>
        <c:lblOffset val="100"/>
        <c:noMultiLvlLbl val="0"/>
      </c:catAx>
      <c:valAx>
        <c:axId val="191039203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918940847"/>
        <c:crosses val="autoZero"/>
        <c:crossBetween val="between"/>
      </c:valAx>
      <c:catAx>
        <c:axId val="191894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0392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69930772076309E-2"/>
          <c:y val="0.19647221104661186"/>
          <c:w val="0.80585131556542011"/>
          <c:h val="0.520409602084411"/>
        </c:manualLayout>
      </c:layout>
      <c:barChart>
        <c:barDir val="col"/>
        <c:grouping val="percent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445-400B-ADCB-45AC473FAC6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445-400B-ADCB-45AC473FAC6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445-400B-ADCB-45AC473FA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967855"/>
        <c:axId val="2051433567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445-400B-ADCB-45AC473FA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940847"/>
        <c:axId val="1910392031"/>
      </c:lineChart>
      <c:valAx>
        <c:axId val="205143356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7855"/>
        <c:crosses val="max"/>
        <c:crossBetween val="between"/>
      </c:valAx>
      <c:catAx>
        <c:axId val="205696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1433567"/>
        <c:crosses val="autoZero"/>
        <c:auto val="1"/>
        <c:lblAlgn val="ctr"/>
        <c:lblOffset val="100"/>
        <c:noMultiLvlLbl val="0"/>
      </c:catAx>
      <c:valAx>
        <c:axId val="191039203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918940847"/>
        <c:crosses val="autoZero"/>
        <c:crossBetween val="between"/>
      </c:valAx>
      <c:catAx>
        <c:axId val="191894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0392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'3F pop (15-64) DR'!$O$1</c:f>
          <c:strCache>
            <c:ptCount val="1"/>
            <c:pt idx="0">
              <c:v>C. ផលធៀបនិងភាគរយអ្នកក្នុងបន្ទុក៖ វ័យធ្វើការ ១៥-៦៤ឆ្នាំ និង TFR អាច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6326378541548"/>
          <c:y val="0.10330549897742845"/>
          <c:w val="0.79308958778588889"/>
          <c:h val="0.71214116277423034"/>
        </c:manualLayout>
      </c:layout>
      <c:barChart>
        <c:barDir val="col"/>
        <c:grouping val="percentStacked"/>
        <c:varyColors val="0"/>
        <c:ser>
          <c:idx val="3"/>
          <c:order val="3"/>
          <c:tx>
            <c:strRef>
              <c:f>'3F pop (15-64) DR'!$R$2</c:f>
              <c:strCache>
                <c:ptCount val="1"/>
                <c:pt idx="0">
                  <c:v>%វ័យក្រោម១៥ឆ្នាំ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DR'!$R$3:$R$10</c:f>
              <c:numCache>
                <c:formatCode>#.##0</c:formatCode>
                <c:ptCount val="8"/>
                <c:pt idx="0">
                  <c:v>83.5192013796391</c:v>
                </c:pt>
                <c:pt idx="1">
                  <c:v>82.958212175585501</c:v>
                </c:pt>
                <c:pt idx="2">
                  <c:v>78.813494730334384</c:v>
                </c:pt>
                <c:pt idx="3">
                  <c:v>73.571794218992011</c:v>
                </c:pt>
                <c:pt idx="4">
                  <c:v>67.965761684382755</c:v>
                </c:pt>
                <c:pt idx="5">
                  <c:v>62.114984799510466</c:v>
                </c:pt>
                <c:pt idx="6">
                  <c:v>56.380592595815237</c:v>
                </c:pt>
                <c:pt idx="7">
                  <c:v>47.574531644846004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B-48F5-B345-A9C1A31A63B4}"/>
            </c:ext>
          </c:extLst>
        </c:ser>
        <c:ser>
          <c:idx val="4"/>
          <c:order val="4"/>
          <c:tx>
            <c:strRef>
              <c:f>'3F pop (15-64) DR'!$S$2</c:f>
              <c:strCache>
                <c:ptCount val="1"/>
                <c:pt idx="0">
                  <c:v>%វ័យ៦៥ឆ្នាំឡើង</c:v>
                </c:pt>
              </c:strCache>
            </c:strRef>
          </c:tx>
          <c:spPr>
            <a:pattFill prst="dkHorz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DR'!$S$3:$S$10</c:f>
              <c:numCache>
                <c:formatCode>#.##0</c:formatCode>
                <c:ptCount val="8"/>
                <c:pt idx="0">
                  <c:v>16.480798620360897</c:v>
                </c:pt>
                <c:pt idx="1">
                  <c:v>17.041787824414502</c:v>
                </c:pt>
                <c:pt idx="2">
                  <c:v>21.186505269665616</c:v>
                </c:pt>
                <c:pt idx="3">
                  <c:v>26.428205781007996</c:v>
                </c:pt>
                <c:pt idx="4">
                  <c:v>32.034238315617259</c:v>
                </c:pt>
                <c:pt idx="5">
                  <c:v>37.885015200489534</c:v>
                </c:pt>
                <c:pt idx="6">
                  <c:v>43.619407404184763</c:v>
                </c:pt>
                <c:pt idx="7">
                  <c:v>52.425468355153996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B-48F5-B345-A9C1A31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56965855"/>
        <c:axId val="2046315151"/>
      </c:barChart>
      <c:lineChart>
        <c:grouping val="standard"/>
        <c:varyColors val="0"/>
        <c:ser>
          <c:idx val="0"/>
          <c:order val="0"/>
          <c:tx>
            <c:strRef>
              <c:f>'3F pop (15-64) DR'!$O$2</c:f>
              <c:strCache>
                <c:ptCount val="1"/>
                <c:pt idx="0">
                  <c:v>TFR អាច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5B-48F5-B345-A9C1A31A63B4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B-48F5-B345-A9C1A31A63B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5B-48F5-B345-A9C1A31A6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DR'!$O$3:$O$10</c:f>
              <c:numCache>
                <c:formatCode>0,00</c:formatCode>
                <c:ptCount val="8"/>
                <c:pt idx="0">
                  <c:v>2.5099999999999998</c:v>
                </c:pt>
                <c:pt idx="1">
                  <c:v>2.41</c:v>
                </c:pt>
                <c:pt idx="2">
                  <c:v>2.16</c:v>
                </c:pt>
                <c:pt idx="3">
                  <c:v>1.94</c:v>
                </c:pt>
                <c:pt idx="4">
                  <c:v>1.74</c:v>
                </c:pt>
                <c:pt idx="5">
                  <c:v>1.56</c:v>
                </c:pt>
                <c:pt idx="6">
                  <c:v>1.4</c:v>
                </c:pt>
                <c:pt idx="7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5B-48F5-B345-A9C1A31A63B4}"/>
            </c:ext>
          </c:extLst>
        </c:ser>
        <c:ser>
          <c:idx val="1"/>
          <c:order val="1"/>
          <c:tx>
            <c:strRef>
              <c:f>'3F pop (15-64) DR'!$P$2</c:f>
              <c:strCache>
                <c:ptCount val="1"/>
                <c:pt idx="0">
                  <c:v>ផលធៀបវ័យធ្វើការ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5B-48F5-B345-A9C1A31A63B4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5B-48F5-B345-A9C1A31A63B4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5B-48F5-B345-A9C1A31A63B4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5B-48F5-B345-A9C1A31A6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DR'!$P$3:$P$10</c:f>
              <c:numCache>
                <c:formatCode>#.##0,00</c:formatCode>
                <c:ptCount val="8"/>
                <c:pt idx="0">
                  <c:v>1.8179316279461042</c:v>
                </c:pt>
                <c:pt idx="1">
                  <c:v>1.8442592770871236</c:v>
                </c:pt>
                <c:pt idx="2">
                  <c:v>1.9838429287074599</c:v>
                </c:pt>
                <c:pt idx="3">
                  <c:v>1.9981459988315282</c:v>
                </c:pt>
                <c:pt idx="4">
                  <c:v>2.0479961973192768</c:v>
                </c:pt>
                <c:pt idx="5">
                  <c:v>2.1363895704812457</c:v>
                </c:pt>
                <c:pt idx="6">
                  <c:v>2.215103301840049</c:v>
                </c:pt>
                <c:pt idx="7">
                  <c:v>2.0745336965683738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5B-48F5-B345-A9C1A31A63B4}"/>
            </c:ext>
          </c:extLst>
        </c:ser>
        <c:ser>
          <c:idx val="2"/>
          <c:order val="2"/>
          <c:tx>
            <c:strRef>
              <c:f>'3F pop (15-64) DR'!$Q$2</c:f>
              <c:strCache>
                <c:ptCount val="1"/>
                <c:pt idx="0">
                  <c:v>ផលធៀបវ័យក្នុងបន្ទុក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5B-48F5-B345-A9C1A31A63B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5B-48F5-B345-A9C1A31A63B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5B-48F5-B345-A9C1A31A63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5B-48F5-B345-A9C1A31A6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DR'!$Q$3:$Q$10</c:f>
              <c:numCache>
                <c:formatCode>#.##0,00</c:formatCode>
                <c:ptCount val="8"/>
                <c:pt idx="0">
                  <c:v>0.55007569296200554</c:v>
                </c:pt>
                <c:pt idx="1">
                  <c:v>0.54222310952906194</c:v>
                </c:pt>
                <c:pt idx="2">
                  <c:v>0.50407216495286422</c:v>
                </c:pt>
                <c:pt idx="3">
                  <c:v>0.50046393035582892</c:v>
                </c:pt>
                <c:pt idx="4">
                  <c:v>0.48828215663141822</c:v>
                </c:pt>
                <c:pt idx="5">
                  <c:v>0.46807942419169313</c:v>
                </c:pt>
                <c:pt idx="6">
                  <c:v>0.45144621434554177</c:v>
                </c:pt>
                <c:pt idx="7">
                  <c:v>0.48203603617245044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5B-48F5-B345-A9C1A31A63B4}"/>
            </c:ext>
          </c:extLst>
        </c:ser>
        <c:ser>
          <c:idx val="5"/>
          <c:order val="5"/>
          <c:tx>
            <c:strRef>
              <c:f>'3F pop (15-64) DR'!$T$2</c:f>
              <c:strCache>
                <c:ptCount val="1"/>
                <c:pt idx="0">
                  <c:v>DR ខ្ពស់បំផុត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DR'!$T$3:$T$10</c:f>
              <c:numCache>
                <c:formatCode>#.##0,00</c:formatCode>
                <c:ptCount val="8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15B-48F5-B345-A9C1A31A63B4}"/>
            </c:ext>
          </c:extLst>
        </c:ser>
        <c:ser>
          <c:idx val="6"/>
          <c:order val="6"/>
          <c:tx>
            <c:strRef>
              <c:f>'3F pop (15-64) DR'!$U$2</c:f>
              <c:strCache>
                <c:ptCount val="1"/>
                <c:pt idx="0">
                  <c:v>WA ទាបបំផុត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'3F pop (15-64) DR'!$N$3:$N$10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DR'!$U$3:$U$10</c:f>
              <c:numCache>
                <c:formatCode>#.##0,00</c:formatCode>
                <c:ptCount val="8"/>
                <c:pt idx="0">
                  <c:v>1.55</c:v>
                </c:pt>
                <c:pt idx="1">
                  <c:v>1.55</c:v>
                </c:pt>
                <c:pt idx="2">
                  <c:v>1.55</c:v>
                </c:pt>
                <c:pt idx="3">
                  <c:v>1.55</c:v>
                </c:pt>
                <c:pt idx="4">
                  <c:v>1.55</c:v>
                </c:pt>
                <c:pt idx="5">
                  <c:v>1.55</c:v>
                </c:pt>
                <c:pt idx="6">
                  <c:v>1.55</c:v>
                </c:pt>
                <c:pt idx="7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5B-48F5-B345-A9C1A31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456687"/>
        <c:axId val="1433067759"/>
      </c:lineChart>
      <c:valAx>
        <c:axId val="1433067759"/>
        <c:scaling>
          <c:orientation val="minMax"/>
          <c:max val="3"/>
          <c:min val="0"/>
        </c:scaling>
        <c:delete val="0"/>
        <c:axPos val="r"/>
        <c:title>
          <c:tx>
            <c:strRef>
              <c:f>'3F pop (15-64) DR'!$T$1</c:f>
              <c:strCache>
                <c:ptCount val="1"/>
                <c:pt idx="0">
                  <c:v>TFR និងផលធៀបក្នុងមនុស្សម្នាក់</c:v>
                </c:pt>
              </c:strCache>
            </c:strRef>
          </c:tx>
          <c:layout>
            <c:manualLayout>
              <c:xMode val="edge"/>
              <c:yMode val="edge"/>
              <c:x val="0.95043465954312956"/>
              <c:y val="0.25000416526089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#.##0,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741456687"/>
        <c:crosses val="max"/>
        <c:crossBetween val="between"/>
        <c:majorUnit val="0.5"/>
      </c:valAx>
      <c:catAx>
        <c:axId val="174145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433067759"/>
        <c:crosses val="autoZero"/>
        <c:auto val="1"/>
        <c:lblAlgn val="ctr"/>
        <c:lblOffset val="100"/>
        <c:noMultiLvlLbl val="0"/>
      </c:catAx>
      <c:valAx>
        <c:axId val="20463151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'3F pop (15-64) DR'!$R$1</c:f>
              <c:strCache>
                <c:ptCount val="1"/>
                <c:pt idx="0">
                  <c:v>របាយភាគរយវ័យក្នុងបន្ទុក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5855"/>
        <c:crosses val="autoZero"/>
        <c:crossBetween val="between"/>
        <c:majorUnit val="0.1"/>
      </c:valAx>
      <c:catAx>
        <c:axId val="205696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315151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rgbClr val="0000FF"/>
          </a:solidFill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1.1874753606483794E-2"/>
          <c:y val="0.89568494591408732"/>
          <c:w val="0.96926791244497212"/>
          <c:h val="0.10374311169980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'3F pop (15-64) DR'!$X$1</c:f>
          <c:strCache>
            <c:ptCount val="1"/>
            <c:pt idx="0">
              <c:v>D. ផលធៀបនិងភាគរយអ្នកក្នុងបន្ទុក៖ វ័យធ្វើការ ១៥-៦៤ឆ្នាំ និង TFR ថយយឺត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78876054198809"/>
          <c:y val="0.10569635314569115"/>
          <c:w val="0.79734441824213598"/>
          <c:h val="0.71570079629284955"/>
        </c:manualLayout>
      </c:layout>
      <c:barChart>
        <c:barDir val="col"/>
        <c:grouping val="percentStacked"/>
        <c:varyColors val="0"/>
        <c:ser>
          <c:idx val="3"/>
          <c:order val="3"/>
          <c:tx>
            <c:strRef>
              <c:f>'3F pop (15-64) DR'!$Z$2</c:f>
              <c:strCache>
                <c:ptCount val="1"/>
                <c:pt idx="0">
                  <c:v>%វ័យក្រោម១៥ឆ្នាំ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DR'!$Z$3:$Z$10</c:f>
              <c:numCache>
                <c:formatCode>#.##0</c:formatCode>
                <c:ptCount val="8"/>
                <c:pt idx="0">
                  <c:v>83.519198491175004</c:v>
                </c:pt>
                <c:pt idx="1">
                  <c:v>82.97032758543304</c:v>
                </c:pt>
                <c:pt idx="2">
                  <c:v>79.097559860465836</c:v>
                </c:pt>
                <c:pt idx="3">
                  <c:v>74.512887996434856</c:v>
                </c:pt>
                <c:pt idx="4">
                  <c:v>70.029721288251466</c:v>
                </c:pt>
                <c:pt idx="5">
                  <c:v>65.660059035188851</c:v>
                </c:pt>
                <c:pt idx="6">
                  <c:v>61.828203185272798</c:v>
                </c:pt>
                <c:pt idx="7">
                  <c:v>55.535509709734079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3-4972-B435-8FC4651774E1}"/>
            </c:ext>
          </c:extLst>
        </c:ser>
        <c:ser>
          <c:idx val="4"/>
          <c:order val="4"/>
          <c:tx>
            <c:strRef>
              <c:f>'3F pop (15-64) DR'!$AA$2</c:f>
              <c:strCache>
                <c:ptCount val="1"/>
                <c:pt idx="0">
                  <c:v>%វ័យ៦៥ឆ្នាំឡើង</c:v>
                </c:pt>
              </c:strCache>
            </c:strRef>
          </c:tx>
          <c:spPr>
            <a:pattFill prst="dkHorz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DR'!$AA$3:$AA$10</c:f>
              <c:numCache>
                <c:formatCode>#.##0</c:formatCode>
                <c:ptCount val="8"/>
                <c:pt idx="0">
                  <c:v>16.480801508824996</c:v>
                </c:pt>
                <c:pt idx="1">
                  <c:v>17.02967241456696</c:v>
                </c:pt>
                <c:pt idx="2">
                  <c:v>20.902440139534164</c:v>
                </c:pt>
                <c:pt idx="3">
                  <c:v>25.487112003565144</c:v>
                </c:pt>
                <c:pt idx="4">
                  <c:v>29.970278711748534</c:v>
                </c:pt>
                <c:pt idx="5">
                  <c:v>34.339940964811149</c:v>
                </c:pt>
                <c:pt idx="6">
                  <c:v>38.171796814727202</c:v>
                </c:pt>
                <c:pt idx="7">
                  <c:v>44.464490290265921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3-4972-B435-8FC46517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56965855"/>
        <c:axId val="2046315151"/>
      </c:barChart>
      <c:lineChart>
        <c:grouping val="standard"/>
        <c:varyColors val="0"/>
        <c:ser>
          <c:idx val="0"/>
          <c:order val="0"/>
          <c:tx>
            <c:strRef>
              <c:f>'3F pop (15-64) DR'!$W$2</c:f>
              <c:strCache>
                <c:ptCount val="1"/>
                <c:pt idx="0">
                  <c:v>TFR ថយយឺត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F3-4972-B435-8FC465177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DR'!$W$3:$W$10</c:f>
              <c:numCache>
                <c:formatCode>General</c:formatCode>
                <c:ptCount val="8"/>
                <c:pt idx="0">
                  <c:v>2.5099999999999998</c:v>
                </c:pt>
                <c:pt idx="1">
                  <c:v>2.4700000000000002</c:v>
                </c:pt>
                <c:pt idx="2">
                  <c:v>2.3199999999999998</c:v>
                </c:pt>
                <c:pt idx="3">
                  <c:v>2.19</c:v>
                </c:pt>
                <c:pt idx="4">
                  <c:v>2.09</c:v>
                </c:pt>
                <c:pt idx="5">
                  <c:v>2.02</c:v>
                </c:pt>
                <c:pt idx="6">
                  <c:v>1.99</c:v>
                </c:pt>
                <c:pt idx="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3-4972-B435-8FC4651774E1}"/>
            </c:ext>
          </c:extLst>
        </c:ser>
        <c:ser>
          <c:idx val="1"/>
          <c:order val="1"/>
          <c:tx>
            <c:strRef>
              <c:f>'3F pop (15-64) DR'!$X$2</c:f>
              <c:strCache>
                <c:ptCount val="1"/>
                <c:pt idx="0">
                  <c:v>ផលធៀបវ័យធ្វើការ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F3-4972-B435-8FC4651774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F3-4972-B435-8FC4651774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F3-4972-B435-8FC4651774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F3-4972-B435-8FC4651774E1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F3-4972-B435-8FC465177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DR'!$X$3:$X$10</c:f>
              <c:numCache>
                <c:formatCode>#.##0,00</c:formatCode>
                <c:ptCount val="8"/>
                <c:pt idx="0">
                  <c:v>1.8179319465487389</c:v>
                </c:pt>
                <c:pt idx="1">
                  <c:v>1.8429539714510474</c:v>
                </c:pt>
                <c:pt idx="2">
                  <c:v>1.9572538050926382</c:v>
                </c:pt>
                <c:pt idx="3">
                  <c:v>1.9281553224153207</c:v>
                </c:pt>
                <c:pt idx="4">
                  <c:v>1.9166232587910688</c:v>
                </c:pt>
                <c:pt idx="5">
                  <c:v>1.94747990866982</c:v>
                </c:pt>
                <c:pt idx="6">
                  <c:v>1.9685290520378966</c:v>
                </c:pt>
                <c:pt idx="7">
                  <c:v>1.8135184287769217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F3-4972-B435-8FC4651774E1}"/>
            </c:ext>
          </c:extLst>
        </c:ser>
        <c:ser>
          <c:idx val="2"/>
          <c:order val="2"/>
          <c:tx>
            <c:strRef>
              <c:f>'3F pop (15-64) DR'!$Y$2</c:f>
              <c:strCache>
                <c:ptCount val="1"/>
                <c:pt idx="0">
                  <c:v>ផលធៀបវ័យក្នុងបន្ទុក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F3-4972-B435-8FC4651774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F3-4972-B435-8FC4651774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2F3-4972-B435-8FC465177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Khmer OS Siemreap-Kh Auto" panose="02000500000000020004" pitchFamily="2" charset="0"/>
                    <a:ea typeface="+mn-ea"/>
                    <a:cs typeface="Khmer OS Siemreap-Kh Auto" panose="02000500000000020004" pitchFamily="2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DR'!$Y$3:$Y$10</c:f>
              <c:numCache>
                <c:formatCode>#.##0,00</c:formatCode>
                <c:ptCount val="8"/>
                <c:pt idx="0">
                  <c:v>0.55007559655819593</c:v>
                </c:pt>
                <c:pt idx="1">
                  <c:v>0.54260714889838046</c:v>
                </c:pt>
                <c:pt idx="2">
                  <c:v>0.51091994170509192</c:v>
                </c:pt>
                <c:pt idx="3">
                  <c:v>0.51863041756788619</c:v>
                </c:pt>
                <c:pt idx="4">
                  <c:v>0.52175094683488343</c:v>
                </c:pt>
                <c:pt idx="5" formatCode="#.##0,000">
                  <c:v>0.51348411634347813</c:v>
                </c:pt>
                <c:pt idx="6" formatCode="#.##0,000">
                  <c:v>0.50799351879758226</c:v>
                </c:pt>
                <c:pt idx="7">
                  <c:v>0.5514143027895354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F3-4972-B435-8FC4651774E1}"/>
            </c:ext>
          </c:extLst>
        </c:ser>
        <c:ser>
          <c:idx val="5"/>
          <c:order val="5"/>
          <c:tx>
            <c:strRef>
              <c:f>'3F pop (15-64) DR'!$AB$2</c:f>
              <c:strCache>
                <c:ptCount val="1"/>
                <c:pt idx="0">
                  <c:v>DR ខ្ពស់បំផុត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DR'!$AB$3:$AB$10</c:f>
              <c:numCache>
                <c:formatCode>#.##0,00</c:formatCode>
                <c:ptCount val="8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F3-4972-B435-8FC4651774E1}"/>
            </c:ext>
          </c:extLst>
        </c:ser>
        <c:ser>
          <c:idx val="6"/>
          <c:order val="6"/>
          <c:tx>
            <c:strRef>
              <c:f>'3F pop (15-64) DR'!$AC$2</c:f>
              <c:strCache>
                <c:ptCount val="1"/>
                <c:pt idx="0">
                  <c:v>WA ទាបបំផុត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'3F pop (15-64) DR'!$V$3:$V$10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numCache>
            </c:numRef>
          </c:cat>
          <c:val>
            <c:numRef>
              <c:f>'3F pop (15-64) DR'!$AC$3:$AC$10</c:f>
              <c:numCache>
                <c:formatCode>#.##0,00</c:formatCode>
                <c:ptCount val="8"/>
                <c:pt idx="0">
                  <c:v>1.55</c:v>
                </c:pt>
                <c:pt idx="1">
                  <c:v>1.55</c:v>
                </c:pt>
                <c:pt idx="2">
                  <c:v>1.55</c:v>
                </c:pt>
                <c:pt idx="3">
                  <c:v>1.55</c:v>
                </c:pt>
                <c:pt idx="4">
                  <c:v>1.55</c:v>
                </c:pt>
                <c:pt idx="5">
                  <c:v>1.55</c:v>
                </c:pt>
                <c:pt idx="6">
                  <c:v>1.55</c:v>
                </c:pt>
                <c:pt idx="7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2F3-4972-B435-8FC46517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456687"/>
        <c:axId val="1433067759"/>
      </c:lineChart>
      <c:valAx>
        <c:axId val="1433067759"/>
        <c:scaling>
          <c:orientation val="minMax"/>
          <c:max val="3"/>
          <c:min val="0"/>
        </c:scaling>
        <c:delete val="0"/>
        <c:axPos val="r"/>
        <c:title>
          <c:tx>
            <c:strRef>
              <c:f>'3F pop (15-64) DR'!$AB$1</c:f>
              <c:strCache>
                <c:ptCount val="1"/>
                <c:pt idx="0">
                  <c:v>TFR និងផលធៀបក្នុងមនុស្សម្នាក់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#.##0,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741456687"/>
        <c:crosses val="max"/>
        <c:crossBetween val="between"/>
        <c:majorUnit val="0.5"/>
      </c:valAx>
      <c:catAx>
        <c:axId val="174145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433067759"/>
        <c:crosses val="autoZero"/>
        <c:auto val="1"/>
        <c:lblAlgn val="ctr"/>
        <c:lblOffset val="100"/>
        <c:noMultiLvlLbl val="0"/>
      </c:catAx>
      <c:valAx>
        <c:axId val="20463151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'3F pop (15-64) DR'!$Z$1</c:f>
              <c:strCache>
                <c:ptCount val="1"/>
                <c:pt idx="0">
                  <c:v>របាយភាគរយវ័យក្នុងបន្ទុក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5855"/>
        <c:crosses val="autoZero"/>
        <c:crossBetween val="between"/>
        <c:majorUnit val="0.1"/>
      </c:valAx>
      <c:catAx>
        <c:axId val="205696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315151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rgbClr val="0000FF"/>
          </a:solidFill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"/>
          <c:y val="0.90059378488220465"/>
          <c:w val="0.98191150725448673"/>
          <c:h val="9.9406215117795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'3F pop (15-64) DR'!#REF!</c:f>
          <c:strCache>
            <c:ptCount val="1"/>
            <c:pt idx="0">
              <c:v>#REF!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5228484227657"/>
          <c:y val="0.12729757836874164"/>
          <c:w val="0.77163148844099927"/>
          <c:h val="0.63747021244985891"/>
        </c:manualLayout>
      </c:layout>
      <c:barChart>
        <c:barDir val="col"/>
        <c:grouping val="percentStacked"/>
        <c:varyColors val="0"/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5E8-44CA-8B8B-25A6CBFB2F4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5E8-44CA-8B8B-25A6CBFB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56965855"/>
        <c:axId val="2046315151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5E8-44CA-8B8B-25A6CBFB2F4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5E8-44CA-8B8B-25A6CBFB2F4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5E8-44CA-8B8B-25A6CBFB2F4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5E8-44CA-8B8B-25A6CBFB2F4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'3F pop (15-64) DR'!#REF!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'3F pop (15-64) DR'!#REF!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5E8-44CA-8B8B-25A6CBFB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456687"/>
        <c:axId val="1433067759"/>
      </c:lineChart>
      <c:valAx>
        <c:axId val="1433067759"/>
        <c:scaling>
          <c:orientation val="minMax"/>
          <c:max val="3"/>
          <c:min val="0"/>
        </c:scaling>
        <c:delete val="0"/>
        <c:axPos val="r"/>
        <c:title>
          <c:tx>
            <c:strRef>
              <c:f>'3F pop (15-64) DR'!#REF!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##.#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741456687"/>
        <c:crosses val="max"/>
        <c:crossBetween val="between"/>
        <c:majorUnit val="0.5"/>
      </c:valAx>
      <c:catAx>
        <c:axId val="174145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1433067759"/>
        <c:crosses val="autoZero"/>
        <c:auto val="1"/>
        <c:lblAlgn val="ctr"/>
        <c:lblOffset val="100"/>
        <c:noMultiLvlLbl val="0"/>
      </c:catAx>
      <c:valAx>
        <c:axId val="20463151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'3F pop (15-64) DR'!#REF!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-Kh Auto" panose="02000500000000020004" pitchFamily="2" charset="0"/>
                  <a:ea typeface="+mn-ea"/>
                  <a:cs typeface="Khmer OS Siemreap-Kh Auto" panose="02000500000000020004" pitchFamily="2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2056965855"/>
        <c:crosses val="autoZero"/>
        <c:crossBetween val="between"/>
        <c:majorUnit val="0.1"/>
      </c:valAx>
      <c:catAx>
        <c:axId val="205696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315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67020864577009E-2"/>
          <c:y val="0.85322091813994949"/>
          <c:w val="0.94545056833068497"/>
          <c:h val="0.13798781756054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-Kh Auto" panose="02000500000000020004" pitchFamily="2" charset="0"/>
              <a:ea typeface="+mn-ea"/>
              <a:cs typeface="Khmer OS Siemreap-Kh Auto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Khmer OS Siemreap-Kh Auto" panose="02000500000000020004" pitchFamily="2" charset="0"/>
          <a:cs typeface="Khmer OS Siemreap-Kh Auto" panose="02000500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11</xdr:row>
      <xdr:rowOff>57150</xdr:rowOff>
    </xdr:from>
    <xdr:to>
      <xdr:col>5</xdr:col>
      <xdr:colOff>682625</xdr:colOff>
      <xdr:row>25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38EDD-428F-477D-A6CA-EBD7D3A67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23813</xdr:colOff>
      <xdr:row>11</xdr:row>
      <xdr:rowOff>31750</xdr:rowOff>
    </xdr:from>
    <xdr:to>
      <xdr:col>11</xdr:col>
      <xdr:colOff>685801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4A2D94-9C68-4DE5-A739-378A0F6C9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11</xdr:row>
      <xdr:rowOff>31750</xdr:rowOff>
    </xdr:from>
    <xdr:to>
      <xdr:col>12</xdr:col>
      <xdr:colOff>34924</xdr:colOff>
      <xdr:row>25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FA492-67B7-44BE-95F7-5BFD0439E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</xdr:colOff>
      <xdr:row>10</xdr:row>
      <xdr:rowOff>175079</xdr:rowOff>
    </xdr:from>
    <xdr:to>
      <xdr:col>21</xdr:col>
      <xdr:colOff>10583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FD4ECD-AF3D-4B7E-B29F-895BB5720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10</xdr:row>
      <xdr:rowOff>179916</xdr:rowOff>
    </xdr:from>
    <xdr:to>
      <xdr:col>28</xdr:col>
      <xdr:colOff>772584</xdr:colOff>
      <xdr:row>32</xdr:row>
      <xdr:rowOff>21167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4B7178-5F91-40D3-9F8C-2F6C71573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783166</xdr:colOff>
      <xdr:row>10</xdr:row>
      <xdr:rowOff>179916</xdr:rowOff>
    </xdr:from>
    <xdr:to>
      <xdr:col>29</xdr:col>
      <xdr:colOff>0</xdr:colOff>
      <xdr:row>32</xdr:row>
      <xdr:rowOff>42332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5D1EF4-4AF1-4435-BE5F-B6901BE40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30</xdr:col>
      <xdr:colOff>0</xdr:colOff>
      <xdr:row>37</xdr:row>
      <xdr:rowOff>95253</xdr:rowOff>
    </xdr:from>
    <xdr:to>
      <xdr:col>41</xdr:col>
      <xdr:colOff>579036</xdr:colOff>
      <xdr:row>58</xdr:row>
      <xdr:rowOff>142448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D39BD2-E2A1-4806-8D90-0CA10DD46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58250" y="7988303"/>
          <a:ext cx="7284636" cy="391434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0</xdr:rowOff>
    </xdr:from>
    <xdr:to>
      <xdr:col>41</xdr:col>
      <xdr:colOff>16677</xdr:colOff>
      <xdr:row>89</xdr:row>
      <xdr:rowOff>36909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CEE48EF-DB88-48F4-8FD4-BD03216C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01000" y="13601700"/>
          <a:ext cx="13073184" cy="390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8137-4B4A-42A3-9DCD-261A7F7BAC48}">
  <sheetPr>
    <pageSetUpPr fitToPage="1"/>
  </sheetPr>
  <dimension ref="A1:AC10"/>
  <sheetViews>
    <sheetView topLeftCell="H1" zoomScale="70" zoomScaleNormal="70" workbookViewId="0">
      <selection activeCell="N8" sqref="N8"/>
    </sheetView>
  </sheetViews>
  <sheetFormatPr defaultRowHeight="14.5" x14ac:dyDescent="0.35"/>
  <cols>
    <col min="3" max="3" width="11.08984375" customWidth="1"/>
    <col min="4" max="4" width="10.81640625" customWidth="1"/>
    <col min="5" max="7" width="10" customWidth="1"/>
    <col min="8" max="8" width="9.6328125" customWidth="1"/>
    <col min="9" max="9" width="11.08984375" customWidth="1"/>
    <col min="10" max="10" width="10.7265625" customWidth="1"/>
    <col min="11" max="12" width="10" customWidth="1"/>
    <col min="14" max="29" width="11.7265625" customWidth="1"/>
  </cols>
  <sheetData>
    <row r="1" spans="1:29" ht="23" x14ac:dyDescent="0.95">
      <c r="B1" t="s">
        <v>0</v>
      </c>
      <c r="C1" s="1" t="s">
        <v>1</v>
      </c>
      <c r="G1" s="2"/>
      <c r="H1" s="2"/>
      <c r="I1" s="3" t="s">
        <v>2</v>
      </c>
      <c r="J1" s="2"/>
      <c r="K1" s="2"/>
      <c r="L1" s="2"/>
      <c r="O1" s="3" t="s">
        <v>3</v>
      </c>
      <c r="R1" t="s">
        <v>4</v>
      </c>
      <c r="T1" s="1" t="s">
        <v>5</v>
      </c>
      <c r="V1" s="2"/>
      <c r="W1" s="2"/>
      <c r="X1" s="3" t="s">
        <v>6</v>
      </c>
      <c r="Y1" s="2"/>
      <c r="Z1" s="1" t="s">
        <v>4</v>
      </c>
      <c r="AA1" s="2"/>
      <c r="AB1" s="1" t="s">
        <v>5</v>
      </c>
      <c r="AC1" s="2"/>
    </row>
    <row r="2" spans="1:29" ht="23" x14ac:dyDescent="0.95">
      <c r="A2" s="1"/>
      <c r="B2" s="1" t="s">
        <v>7</v>
      </c>
      <c r="C2" s="1" t="s">
        <v>8</v>
      </c>
      <c r="D2" s="1" t="s">
        <v>9</v>
      </c>
      <c r="E2" s="1" t="s">
        <v>10</v>
      </c>
      <c r="F2" s="1"/>
      <c r="G2" s="3"/>
      <c r="H2" s="3" t="s">
        <v>11</v>
      </c>
      <c r="I2" s="3" t="s">
        <v>8</v>
      </c>
      <c r="J2" s="3" t="s">
        <v>9</v>
      </c>
      <c r="K2" s="3" t="s">
        <v>10</v>
      </c>
      <c r="L2" s="3"/>
      <c r="N2" s="1"/>
      <c r="O2" s="1" t="s">
        <v>7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3"/>
      <c r="W2" s="3" t="s">
        <v>11</v>
      </c>
      <c r="X2" s="3" t="s">
        <v>12</v>
      </c>
      <c r="Y2" s="3" t="s">
        <v>13</v>
      </c>
      <c r="Z2" s="3" t="s">
        <v>14</v>
      </c>
      <c r="AA2" s="3" t="s">
        <v>15</v>
      </c>
      <c r="AB2" s="1" t="s">
        <v>16</v>
      </c>
      <c r="AC2" s="3" t="s">
        <v>17</v>
      </c>
    </row>
    <row r="3" spans="1:29" ht="23" x14ac:dyDescent="0.95">
      <c r="A3" s="1">
        <v>2019</v>
      </c>
      <c r="B3" s="4">
        <v>2.5099999999999998</v>
      </c>
      <c r="C3" s="5">
        <v>4765.4719999999998</v>
      </c>
      <c r="D3" s="5">
        <v>10372.826999999999</v>
      </c>
      <c r="E3" s="5">
        <v>940.36800000000005</v>
      </c>
      <c r="F3" s="6">
        <f>SUM(C3:E3)</f>
        <v>16078.666999999999</v>
      </c>
      <c r="G3" s="3">
        <v>2019</v>
      </c>
      <c r="H3" s="3">
        <v>2.5099999999999998</v>
      </c>
      <c r="I3" s="7">
        <v>4765.4710000076302</v>
      </c>
      <c r="J3" s="7">
        <v>10372.826999987121</v>
      </c>
      <c r="K3" s="7">
        <v>940.36800000524693</v>
      </c>
      <c r="L3" s="6">
        <f>SUM(I3:K3)</f>
        <v>16078.665999999997</v>
      </c>
      <c r="N3" s="1">
        <v>2019</v>
      </c>
      <c r="O3" s="4">
        <v>2.5099999999999998</v>
      </c>
      <c r="P3" s="8">
        <f t="shared" ref="P3:P10" si="0">D3/(C3+E3)</f>
        <v>1.8179316279461042</v>
      </c>
      <c r="Q3" s="8">
        <f t="shared" ref="Q3:Q10" si="1">(C3+E3)/D3</f>
        <v>0.55007569296200554</v>
      </c>
      <c r="R3" s="5">
        <f t="shared" ref="R3:R10" si="2">C3/(C3+E3)*100</f>
        <v>83.5192013796391</v>
      </c>
      <c r="S3" s="5">
        <f t="shared" ref="S3:S10" si="3">E3/(C3+E3)*100</f>
        <v>16.480798620360897</v>
      </c>
      <c r="T3" s="8">
        <v>0.65</v>
      </c>
      <c r="U3" s="8">
        <v>1.55</v>
      </c>
      <c r="V3" s="3">
        <v>2019</v>
      </c>
      <c r="W3" s="3">
        <v>2.5099999999999998</v>
      </c>
      <c r="X3" s="9">
        <f t="shared" ref="X3:X10" si="4">J3/(I3+K3)</f>
        <v>1.8179319465487389</v>
      </c>
      <c r="Y3" s="9">
        <f t="shared" ref="Y3:Y10" si="5">(I3+K3)/J3</f>
        <v>0.55007559655819593</v>
      </c>
      <c r="Z3" s="7">
        <f t="shared" ref="Z3:Z10" si="6">I3/(I3+K3)*100</f>
        <v>83.519198491175004</v>
      </c>
      <c r="AA3" s="7">
        <f>100-Z3</f>
        <v>16.480801508824996</v>
      </c>
      <c r="AB3" s="9">
        <v>0.65</v>
      </c>
      <c r="AC3" s="9">
        <v>1.55</v>
      </c>
    </row>
    <row r="4" spans="1:29" ht="23" x14ac:dyDescent="0.95">
      <c r="A4" s="1">
        <v>2020</v>
      </c>
      <c r="B4" s="4">
        <v>2.41</v>
      </c>
      <c r="C4" s="5">
        <v>4765.3130000000001</v>
      </c>
      <c r="D4" s="5">
        <v>10593.855</v>
      </c>
      <c r="E4" s="5">
        <v>978.92</v>
      </c>
      <c r="F4" s="6">
        <f t="shared" ref="F4:F10" si="7">SUM(C4:E4)</f>
        <v>16338.088</v>
      </c>
      <c r="G4" s="3">
        <v>2020</v>
      </c>
      <c r="H4" s="3">
        <v>2.4700000000000002</v>
      </c>
      <c r="I4" s="7">
        <v>4769.3850000000002</v>
      </c>
      <c r="J4" s="7">
        <v>10593.856</v>
      </c>
      <c r="K4" s="7">
        <v>978.91700000000003</v>
      </c>
      <c r="L4" s="6">
        <f t="shared" ref="L4:L10" si="8">SUM(I4:K4)</f>
        <v>16342.157999999999</v>
      </c>
      <c r="N4" s="1">
        <v>2020</v>
      </c>
      <c r="O4" s="4">
        <v>2.41</v>
      </c>
      <c r="P4" s="8">
        <f t="shared" si="0"/>
        <v>1.8442592770871236</v>
      </c>
      <c r="Q4" s="8">
        <f t="shared" si="1"/>
        <v>0.54222310952906194</v>
      </c>
      <c r="R4" s="5">
        <f t="shared" si="2"/>
        <v>82.958212175585501</v>
      </c>
      <c r="S4" s="5">
        <f t="shared" si="3"/>
        <v>17.041787824414502</v>
      </c>
      <c r="T4" s="8">
        <v>0.65</v>
      </c>
      <c r="U4" s="8">
        <v>1.55</v>
      </c>
      <c r="V4" s="3">
        <v>2020</v>
      </c>
      <c r="W4" s="3">
        <v>2.4700000000000002</v>
      </c>
      <c r="X4" s="9">
        <f t="shared" si="4"/>
        <v>1.8429539714510474</v>
      </c>
      <c r="Y4" s="9">
        <f t="shared" si="5"/>
        <v>0.54260714889838046</v>
      </c>
      <c r="Z4" s="7">
        <f t="shared" si="6"/>
        <v>82.97032758543304</v>
      </c>
      <c r="AA4" s="7">
        <f t="shared" ref="AA4:AA10" si="9">100-Z4</f>
        <v>17.02967241456696</v>
      </c>
      <c r="AB4" s="9">
        <v>0.65</v>
      </c>
      <c r="AC4" s="9">
        <v>1.55</v>
      </c>
    </row>
    <row r="5" spans="1:29" ht="23" x14ac:dyDescent="0.95">
      <c r="A5" s="1">
        <v>2025</v>
      </c>
      <c r="B5" s="4">
        <v>2.16</v>
      </c>
      <c r="C5" s="5">
        <v>4642.8879999999999</v>
      </c>
      <c r="D5" s="5">
        <v>11686.781000000001</v>
      </c>
      <c r="E5" s="5">
        <v>1248.0930000000001</v>
      </c>
      <c r="F5" s="6">
        <f t="shared" si="7"/>
        <v>17577.762000000002</v>
      </c>
      <c r="G5" s="3">
        <v>2025</v>
      </c>
      <c r="H5" s="3">
        <v>2.3199999999999998</v>
      </c>
      <c r="I5" s="7">
        <v>4722.924</v>
      </c>
      <c r="J5" s="7">
        <v>11686.784</v>
      </c>
      <c r="K5" s="7">
        <v>1248.087</v>
      </c>
      <c r="L5" s="6">
        <f t="shared" si="8"/>
        <v>17657.794999999998</v>
      </c>
      <c r="N5" s="1">
        <v>2025</v>
      </c>
      <c r="O5" s="4">
        <v>2.16</v>
      </c>
      <c r="P5" s="8">
        <f t="shared" si="0"/>
        <v>1.9838429287074599</v>
      </c>
      <c r="Q5" s="8">
        <f t="shared" si="1"/>
        <v>0.50407216495286422</v>
      </c>
      <c r="R5" s="5">
        <f t="shared" si="2"/>
        <v>78.813494730334384</v>
      </c>
      <c r="S5" s="5">
        <f t="shared" si="3"/>
        <v>21.186505269665616</v>
      </c>
      <c r="T5" s="8">
        <v>0.65</v>
      </c>
      <c r="U5" s="8">
        <v>1.55</v>
      </c>
      <c r="V5" s="3">
        <v>2025</v>
      </c>
      <c r="W5" s="3">
        <v>2.3199999999999998</v>
      </c>
      <c r="X5" s="9">
        <f t="shared" si="4"/>
        <v>1.9572538050926382</v>
      </c>
      <c r="Y5" s="9">
        <f t="shared" si="5"/>
        <v>0.51091994170509192</v>
      </c>
      <c r="Z5" s="7">
        <f t="shared" si="6"/>
        <v>79.097559860465836</v>
      </c>
      <c r="AA5" s="7">
        <f t="shared" si="9"/>
        <v>20.902440139534164</v>
      </c>
      <c r="AB5" s="9">
        <v>0.65</v>
      </c>
      <c r="AC5" s="9">
        <v>1.55</v>
      </c>
    </row>
    <row r="6" spans="1:29" ht="23" x14ac:dyDescent="0.95">
      <c r="A6" s="1">
        <v>2030</v>
      </c>
      <c r="B6" s="4">
        <v>1.94</v>
      </c>
      <c r="C6" s="5">
        <v>4597.6390000000001</v>
      </c>
      <c r="D6" s="5">
        <v>12486.788</v>
      </c>
      <c r="E6" s="5">
        <v>1651.548</v>
      </c>
      <c r="F6" s="6">
        <f t="shared" si="7"/>
        <v>18735.974999999999</v>
      </c>
      <c r="G6" s="3">
        <v>2030</v>
      </c>
      <c r="H6" s="3">
        <v>2.19</v>
      </c>
      <c r="I6" s="7">
        <v>4825.4740000000002</v>
      </c>
      <c r="J6" s="7">
        <v>12486.784</v>
      </c>
      <c r="K6" s="7">
        <v>1650.5519999999999</v>
      </c>
      <c r="L6" s="6">
        <f>SUM(I6:K6)</f>
        <v>18962.810000000001</v>
      </c>
      <c r="N6" s="1">
        <v>2030</v>
      </c>
      <c r="O6" s="4">
        <v>1.94</v>
      </c>
      <c r="P6" s="8">
        <f t="shared" si="0"/>
        <v>1.9981459988315282</v>
      </c>
      <c r="Q6" s="8">
        <f t="shared" si="1"/>
        <v>0.50046393035582892</v>
      </c>
      <c r="R6" s="5">
        <f t="shared" si="2"/>
        <v>73.571794218992011</v>
      </c>
      <c r="S6" s="5">
        <f t="shared" si="3"/>
        <v>26.428205781007996</v>
      </c>
      <c r="T6" s="8">
        <v>0.65</v>
      </c>
      <c r="U6" s="8">
        <v>1.55</v>
      </c>
      <c r="V6" s="3">
        <v>2030</v>
      </c>
      <c r="W6" s="3">
        <v>2.19</v>
      </c>
      <c r="X6" s="9">
        <f t="shared" si="4"/>
        <v>1.9281553224153207</v>
      </c>
      <c r="Y6" s="9">
        <f t="shared" si="5"/>
        <v>0.51863041756788619</v>
      </c>
      <c r="Z6" s="7">
        <f t="shared" si="6"/>
        <v>74.512887996434856</v>
      </c>
      <c r="AA6" s="7">
        <f t="shared" si="9"/>
        <v>25.487112003565144</v>
      </c>
      <c r="AB6" s="9">
        <v>0.65</v>
      </c>
      <c r="AC6" s="9">
        <v>1.55</v>
      </c>
    </row>
    <row r="7" spans="1:29" ht="23" x14ac:dyDescent="0.95">
      <c r="A7" s="1">
        <v>2035</v>
      </c>
      <c r="B7" s="4">
        <v>1.74</v>
      </c>
      <c r="C7" s="5">
        <v>4406.7960000000003</v>
      </c>
      <c r="D7" s="5">
        <v>13278.894</v>
      </c>
      <c r="E7" s="5">
        <v>2077.0509999999999</v>
      </c>
      <c r="F7" s="6">
        <f t="shared" si="7"/>
        <v>19762.741000000002</v>
      </c>
      <c r="G7" s="3">
        <v>2035</v>
      </c>
      <c r="H7" s="3">
        <v>2.09</v>
      </c>
      <c r="I7" s="7">
        <v>4853.33</v>
      </c>
      <c r="J7" s="7">
        <v>13282.939</v>
      </c>
      <c r="K7" s="7">
        <v>2077.056</v>
      </c>
      <c r="L7" s="6">
        <f t="shared" si="8"/>
        <v>20213.325000000001</v>
      </c>
      <c r="N7" s="1">
        <v>2035</v>
      </c>
      <c r="O7" s="4">
        <v>1.74</v>
      </c>
      <c r="P7" s="8">
        <f t="shared" si="0"/>
        <v>2.0479961973192768</v>
      </c>
      <c r="Q7" s="8">
        <f t="shared" si="1"/>
        <v>0.48828215663141822</v>
      </c>
      <c r="R7" s="5">
        <f t="shared" si="2"/>
        <v>67.965761684382755</v>
      </c>
      <c r="S7" s="5">
        <f t="shared" si="3"/>
        <v>32.034238315617259</v>
      </c>
      <c r="T7" s="8">
        <v>0.65</v>
      </c>
      <c r="U7" s="8">
        <v>1.55</v>
      </c>
      <c r="V7" s="3">
        <v>2035</v>
      </c>
      <c r="W7" s="3">
        <v>2.09</v>
      </c>
      <c r="X7" s="9">
        <f t="shared" si="4"/>
        <v>1.9166232587910688</v>
      </c>
      <c r="Y7" s="9">
        <f t="shared" si="5"/>
        <v>0.52175094683488343</v>
      </c>
      <c r="Z7" s="7">
        <f t="shared" si="6"/>
        <v>70.029721288251466</v>
      </c>
      <c r="AA7" s="7">
        <f t="shared" si="9"/>
        <v>29.970278711748534</v>
      </c>
      <c r="AB7" s="9">
        <v>0.65</v>
      </c>
      <c r="AC7" s="9">
        <v>1.55</v>
      </c>
    </row>
    <row r="8" spans="1:29" ht="23" x14ac:dyDescent="0.95">
      <c r="A8" s="1">
        <v>2040</v>
      </c>
      <c r="B8" s="4">
        <v>1.56</v>
      </c>
      <c r="C8" s="5">
        <v>4084.7460000000001</v>
      </c>
      <c r="D8" s="5">
        <v>14049.12</v>
      </c>
      <c r="E8" s="5">
        <v>2491.3580000000002</v>
      </c>
      <c r="F8" s="6">
        <f t="shared" si="7"/>
        <v>20625.224000000002</v>
      </c>
      <c r="G8" s="3">
        <v>2040</v>
      </c>
      <c r="H8" s="3">
        <v>2.02</v>
      </c>
      <c r="I8" s="7">
        <v>4763.634</v>
      </c>
      <c r="J8" s="7">
        <v>14128.957</v>
      </c>
      <c r="K8" s="7">
        <v>2491.3609999999999</v>
      </c>
      <c r="L8" s="6">
        <f t="shared" si="8"/>
        <v>21383.952000000001</v>
      </c>
      <c r="M8" t="s">
        <v>23</v>
      </c>
      <c r="N8" s="1">
        <v>2040</v>
      </c>
      <c r="O8" s="4">
        <v>1.56</v>
      </c>
      <c r="P8" s="8">
        <f t="shared" si="0"/>
        <v>2.1363895704812457</v>
      </c>
      <c r="Q8" s="8">
        <f t="shared" si="1"/>
        <v>0.46807942419169313</v>
      </c>
      <c r="R8" s="5">
        <f t="shared" si="2"/>
        <v>62.114984799510466</v>
      </c>
      <c r="S8" s="5">
        <f t="shared" si="3"/>
        <v>37.885015200489534</v>
      </c>
      <c r="T8" s="8">
        <v>0.65</v>
      </c>
      <c r="U8" s="8">
        <v>1.55</v>
      </c>
      <c r="V8" s="3">
        <v>2040</v>
      </c>
      <c r="W8" s="3">
        <v>2.02</v>
      </c>
      <c r="X8" s="9">
        <f t="shared" si="4"/>
        <v>1.94747990866982</v>
      </c>
      <c r="Y8" s="10">
        <f t="shared" si="5"/>
        <v>0.51348411634347813</v>
      </c>
      <c r="Z8" s="7">
        <f t="shared" si="6"/>
        <v>65.660059035188851</v>
      </c>
      <c r="AA8" s="7">
        <f t="shared" si="9"/>
        <v>34.339940964811149</v>
      </c>
      <c r="AB8" s="9">
        <v>0.65</v>
      </c>
      <c r="AC8" s="9">
        <v>1.55</v>
      </c>
    </row>
    <row r="9" spans="1:29" ht="23" x14ac:dyDescent="0.95">
      <c r="A9" s="1">
        <v>2045</v>
      </c>
      <c r="B9" s="4">
        <v>1.4</v>
      </c>
      <c r="C9" s="5">
        <v>3732.2959999999998</v>
      </c>
      <c r="D9" s="5">
        <v>14663.593999999999</v>
      </c>
      <c r="E9" s="5">
        <v>2887.5279999999998</v>
      </c>
      <c r="F9" s="6">
        <f t="shared" si="7"/>
        <v>21283.417999999998</v>
      </c>
      <c r="G9" s="3">
        <v>2045</v>
      </c>
      <c r="H9" s="3">
        <v>1.99</v>
      </c>
      <c r="I9" s="7">
        <v>4677.0339999999997</v>
      </c>
      <c r="J9" s="7">
        <v>14891.064</v>
      </c>
      <c r="K9" s="7">
        <v>2887.53</v>
      </c>
      <c r="L9" s="6">
        <f t="shared" si="8"/>
        <v>22455.627999999997</v>
      </c>
      <c r="N9" s="1">
        <v>2045</v>
      </c>
      <c r="O9" s="4">
        <v>1.4</v>
      </c>
      <c r="P9" s="8">
        <f t="shared" si="0"/>
        <v>2.215103301840049</v>
      </c>
      <c r="Q9" s="8">
        <f t="shared" si="1"/>
        <v>0.45144621434554177</v>
      </c>
      <c r="R9" s="5">
        <f t="shared" si="2"/>
        <v>56.380592595815237</v>
      </c>
      <c r="S9" s="5">
        <f t="shared" si="3"/>
        <v>43.619407404184763</v>
      </c>
      <c r="T9" s="8">
        <v>0.65</v>
      </c>
      <c r="U9" s="8">
        <v>1.55</v>
      </c>
      <c r="V9" s="3">
        <v>2045</v>
      </c>
      <c r="W9" s="3">
        <v>1.99</v>
      </c>
      <c r="X9" s="9">
        <f t="shared" si="4"/>
        <v>1.9685290520378966</v>
      </c>
      <c r="Y9" s="10">
        <f t="shared" si="5"/>
        <v>0.50799351879758226</v>
      </c>
      <c r="Z9" s="7">
        <f t="shared" si="6"/>
        <v>61.828203185272798</v>
      </c>
      <c r="AA9" s="7">
        <f t="shared" si="9"/>
        <v>38.171796814727202</v>
      </c>
      <c r="AB9" s="9">
        <v>0.65</v>
      </c>
      <c r="AC9" s="9">
        <v>1.55</v>
      </c>
    </row>
    <row r="10" spans="1:29" ht="23" x14ac:dyDescent="0.95">
      <c r="A10" s="1">
        <v>2050</v>
      </c>
      <c r="B10" s="4">
        <v>1.25</v>
      </c>
      <c r="C10" s="5">
        <v>3362.203</v>
      </c>
      <c r="D10" s="5">
        <v>14661.213</v>
      </c>
      <c r="E10" s="5">
        <v>3705.03</v>
      </c>
      <c r="F10" s="6">
        <f t="shared" si="7"/>
        <v>21728.446</v>
      </c>
      <c r="G10" s="3">
        <v>2050</v>
      </c>
      <c r="H10" s="3">
        <v>1.98</v>
      </c>
      <c r="I10" s="7">
        <v>4627.5330000000004</v>
      </c>
      <c r="J10" s="7">
        <v>15111.262000000001</v>
      </c>
      <c r="K10" s="7">
        <v>3705.0329999999999</v>
      </c>
      <c r="L10" s="6">
        <f t="shared" si="8"/>
        <v>23443.828000000001</v>
      </c>
      <c r="N10" s="1">
        <v>2050</v>
      </c>
      <c r="O10" s="4">
        <v>1.25</v>
      </c>
      <c r="P10" s="8">
        <f t="shared" si="0"/>
        <v>2.0745336965683738</v>
      </c>
      <c r="Q10" s="8">
        <f t="shared" si="1"/>
        <v>0.48203603617245044</v>
      </c>
      <c r="R10" s="5">
        <f t="shared" si="2"/>
        <v>47.574531644846004</v>
      </c>
      <c r="S10" s="5">
        <f t="shared" si="3"/>
        <v>52.425468355153996</v>
      </c>
      <c r="T10" s="8">
        <v>0.65</v>
      </c>
      <c r="U10" s="8">
        <v>1.55</v>
      </c>
      <c r="V10" s="3">
        <v>2050</v>
      </c>
      <c r="W10" s="3">
        <v>1.98</v>
      </c>
      <c r="X10" s="9">
        <f t="shared" si="4"/>
        <v>1.8135184287769217</v>
      </c>
      <c r="Y10" s="9">
        <f t="shared" si="5"/>
        <v>0.5514143027895354</v>
      </c>
      <c r="Z10" s="7">
        <f t="shared" si="6"/>
        <v>55.535509709734079</v>
      </c>
      <c r="AA10" s="7">
        <f t="shared" si="9"/>
        <v>44.464490290265921</v>
      </c>
      <c r="AB10" s="9">
        <v>0.65</v>
      </c>
      <c r="AC10" s="9">
        <v>1.55</v>
      </c>
    </row>
  </sheetData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A98E-B6CE-4A6D-B343-0259B33612C7}">
  <dimension ref="A1:J3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defaultRowHeight="23" x14ac:dyDescent="0.95"/>
  <cols>
    <col min="1" max="1" width="8.81640625" style="1" bestFit="1" customWidth="1"/>
  </cols>
  <sheetData>
    <row r="1" spans="1:10" x14ac:dyDescent="0.95">
      <c r="A1" s="1" t="s">
        <v>18</v>
      </c>
      <c r="C1" s="13" t="s">
        <v>25</v>
      </c>
      <c r="D1" s="13"/>
      <c r="E1" s="13"/>
      <c r="F1" s="13"/>
      <c r="G1" s="13"/>
      <c r="H1" s="13"/>
      <c r="I1" s="13"/>
      <c r="J1" s="13"/>
    </row>
    <row r="2" spans="1:10" x14ac:dyDescent="0.95">
      <c r="B2" t="s">
        <v>20</v>
      </c>
    </row>
    <row r="3" spans="1:10" x14ac:dyDescent="0.95">
      <c r="A3" s="14">
        <v>1998</v>
      </c>
    </row>
    <row r="4" spans="1:10" x14ac:dyDescent="0.95">
      <c r="A4" s="14">
        <v>1999</v>
      </c>
    </row>
    <row r="5" spans="1:10" x14ac:dyDescent="0.95">
      <c r="A5" s="14">
        <v>2000</v>
      </c>
    </row>
    <row r="6" spans="1:10" x14ac:dyDescent="0.95">
      <c r="A6" s="14">
        <v>2001</v>
      </c>
    </row>
    <row r="7" spans="1:10" x14ac:dyDescent="0.95">
      <c r="A7" s="14">
        <v>2002</v>
      </c>
    </row>
    <row r="8" spans="1:10" x14ac:dyDescent="0.95">
      <c r="A8" s="14">
        <v>2003</v>
      </c>
    </row>
    <row r="9" spans="1:10" x14ac:dyDescent="0.95">
      <c r="A9" s="14">
        <v>2004</v>
      </c>
    </row>
    <row r="10" spans="1:10" x14ac:dyDescent="0.95">
      <c r="A10" s="14">
        <v>2005</v>
      </c>
    </row>
    <row r="11" spans="1:10" x14ac:dyDescent="0.95">
      <c r="A11" s="14">
        <v>2006</v>
      </c>
    </row>
    <row r="12" spans="1:10" x14ac:dyDescent="0.95">
      <c r="A12" s="14">
        <v>2007</v>
      </c>
    </row>
    <row r="13" spans="1:10" x14ac:dyDescent="0.95">
      <c r="A13" s="14">
        <v>2008</v>
      </c>
    </row>
    <row r="14" spans="1:10" x14ac:dyDescent="0.95">
      <c r="A14" s="14">
        <v>2009</v>
      </c>
    </row>
    <row r="15" spans="1:10" x14ac:dyDescent="0.95">
      <c r="A15" s="14">
        <v>2010</v>
      </c>
    </row>
    <row r="16" spans="1:10" x14ac:dyDescent="0.95">
      <c r="A16" s="14">
        <v>2011</v>
      </c>
    </row>
    <row r="17" spans="1:1" x14ac:dyDescent="0.95">
      <c r="A17" s="14">
        <v>2012</v>
      </c>
    </row>
    <row r="18" spans="1:1" x14ac:dyDescent="0.95">
      <c r="A18" s="14">
        <v>2013</v>
      </c>
    </row>
    <row r="19" spans="1:1" x14ac:dyDescent="0.95">
      <c r="A19" s="14">
        <v>2014</v>
      </c>
    </row>
    <row r="20" spans="1:1" x14ac:dyDescent="0.95">
      <c r="A20" s="14">
        <v>2015</v>
      </c>
    </row>
    <row r="21" spans="1:1" x14ac:dyDescent="0.95">
      <c r="A21" s="14">
        <v>2016</v>
      </c>
    </row>
    <row r="22" spans="1:1" x14ac:dyDescent="0.95">
      <c r="A22" s="14">
        <v>2017</v>
      </c>
    </row>
    <row r="23" spans="1:1" x14ac:dyDescent="0.95">
      <c r="A23" s="14">
        <v>2018</v>
      </c>
    </row>
    <row r="24" spans="1:1" x14ac:dyDescent="0.95">
      <c r="A24" s="14">
        <v>2019</v>
      </c>
    </row>
    <row r="25" spans="1:1" x14ac:dyDescent="0.95">
      <c r="A25" s="14">
        <v>2020</v>
      </c>
    </row>
    <row r="26" spans="1:1" x14ac:dyDescent="0.95">
      <c r="A26" s="15">
        <v>2019</v>
      </c>
    </row>
    <row r="27" spans="1:1" x14ac:dyDescent="0.95">
      <c r="A27" s="15">
        <v>2020</v>
      </c>
    </row>
    <row r="28" spans="1:1" x14ac:dyDescent="0.95">
      <c r="A28" s="15">
        <v>2021</v>
      </c>
    </row>
    <row r="29" spans="1:1" x14ac:dyDescent="0.95">
      <c r="A29" s="15">
        <v>2022</v>
      </c>
    </row>
    <row r="30" spans="1:1" x14ac:dyDescent="0.95">
      <c r="A30" s="15">
        <v>2023</v>
      </c>
    </row>
    <row r="31" spans="1:1" x14ac:dyDescent="0.95">
      <c r="A31" s="15">
        <v>2024</v>
      </c>
    </row>
    <row r="32" spans="1:1" x14ac:dyDescent="0.95">
      <c r="A32" s="15">
        <v>2025</v>
      </c>
    </row>
    <row r="33" spans="1:1" x14ac:dyDescent="0.95">
      <c r="A33" s="15">
        <v>2026</v>
      </c>
    </row>
    <row r="34" spans="1:1" x14ac:dyDescent="0.95">
      <c r="A34" s="15">
        <v>2027</v>
      </c>
    </row>
    <row r="35" spans="1:1" x14ac:dyDescent="0.95">
      <c r="A35" s="15">
        <v>2028</v>
      </c>
    </row>
    <row r="36" spans="1:1" x14ac:dyDescent="0.95">
      <c r="A36" s="15">
        <v>2029</v>
      </c>
    </row>
    <row r="37" spans="1:1" x14ac:dyDescent="0.95">
      <c r="A37" s="15">
        <v>2030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F64C-C12B-4EA7-8972-27E8B40745B2}">
  <dimension ref="A1:J37"/>
  <sheetViews>
    <sheetView topLeftCell="A30" workbookViewId="0">
      <selection activeCell="A37" sqref="A3:A37"/>
    </sheetView>
  </sheetViews>
  <sheetFormatPr defaultRowHeight="23" x14ac:dyDescent="0.95"/>
  <cols>
    <col min="1" max="1" width="8.81640625" style="1" bestFit="1" customWidth="1"/>
  </cols>
  <sheetData>
    <row r="1" spans="1:10" x14ac:dyDescent="0.95">
      <c r="A1" s="1" t="s">
        <v>18</v>
      </c>
      <c r="C1" s="13" t="s">
        <v>26</v>
      </c>
      <c r="D1" s="13"/>
      <c r="E1" s="13"/>
      <c r="F1" s="13"/>
      <c r="G1" s="13"/>
      <c r="H1" s="13"/>
      <c r="I1" s="13"/>
      <c r="J1" s="13"/>
    </row>
    <row r="2" spans="1:10" x14ac:dyDescent="0.95">
      <c r="B2" t="s">
        <v>31</v>
      </c>
    </row>
    <row r="3" spans="1:10" x14ac:dyDescent="0.95">
      <c r="A3" s="16">
        <v>1998</v>
      </c>
    </row>
    <row r="4" spans="1:10" x14ac:dyDescent="0.95">
      <c r="A4" s="16">
        <v>1999</v>
      </c>
    </row>
    <row r="5" spans="1:10" x14ac:dyDescent="0.95">
      <c r="A5" s="16">
        <v>2000</v>
      </c>
    </row>
    <row r="6" spans="1:10" x14ac:dyDescent="0.95">
      <c r="A6" s="16">
        <v>2001</v>
      </c>
    </row>
    <row r="7" spans="1:10" x14ac:dyDescent="0.95">
      <c r="A7" s="16">
        <v>2002</v>
      </c>
    </row>
    <row r="8" spans="1:10" x14ac:dyDescent="0.95">
      <c r="A8" s="16">
        <v>2003</v>
      </c>
    </row>
    <row r="9" spans="1:10" x14ac:dyDescent="0.95">
      <c r="A9" s="16">
        <v>2004</v>
      </c>
    </row>
    <row r="10" spans="1:10" x14ac:dyDescent="0.95">
      <c r="A10" s="16">
        <v>2005</v>
      </c>
    </row>
    <row r="11" spans="1:10" x14ac:dyDescent="0.95">
      <c r="A11" s="16">
        <v>2006</v>
      </c>
    </row>
    <row r="12" spans="1:10" x14ac:dyDescent="0.95">
      <c r="A12" s="16">
        <v>2007</v>
      </c>
    </row>
    <row r="13" spans="1:10" x14ac:dyDescent="0.95">
      <c r="A13" s="16">
        <v>2008</v>
      </c>
    </row>
    <row r="14" spans="1:10" x14ac:dyDescent="0.95">
      <c r="A14" s="16">
        <v>2009</v>
      </c>
    </row>
    <row r="15" spans="1:10" x14ac:dyDescent="0.95">
      <c r="A15" s="16">
        <v>2010</v>
      </c>
    </row>
    <row r="16" spans="1:10" x14ac:dyDescent="0.95">
      <c r="A16" s="16">
        <v>2011</v>
      </c>
    </row>
    <row r="17" spans="1:1" x14ac:dyDescent="0.95">
      <c r="A17" s="16">
        <v>2012</v>
      </c>
    </row>
    <row r="18" spans="1:1" x14ac:dyDescent="0.95">
      <c r="A18" s="16">
        <v>2013</v>
      </c>
    </row>
    <row r="19" spans="1:1" x14ac:dyDescent="0.95">
      <c r="A19" s="16">
        <v>2014</v>
      </c>
    </row>
    <row r="20" spans="1:1" x14ac:dyDescent="0.95">
      <c r="A20" s="16">
        <v>2015</v>
      </c>
    </row>
    <row r="21" spans="1:1" x14ac:dyDescent="0.95">
      <c r="A21" s="16">
        <v>2016</v>
      </c>
    </row>
    <row r="22" spans="1:1" x14ac:dyDescent="0.95">
      <c r="A22" s="16">
        <v>2017</v>
      </c>
    </row>
    <row r="23" spans="1:1" x14ac:dyDescent="0.95">
      <c r="A23" s="16">
        <v>2018</v>
      </c>
    </row>
    <row r="24" spans="1:1" x14ac:dyDescent="0.95">
      <c r="A24" s="16">
        <v>2019</v>
      </c>
    </row>
    <row r="25" spans="1:1" x14ac:dyDescent="0.95">
      <c r="A25" s="16">
        <v>2020</v>
      </c>
    </row>
    <row r="26" spans="1:1" x14ac:dyDescent="0.95">
      <c r="A26" s="15">
        <v>2019</v>
      </c>
    </row>
    <row r="27" spans="1:1" x14ac:dyDescent="0.95">
      <c r="A27" s="15">
        <v>2020</v>
      </c>
    </row>
    <row r="28" spans="1:1" x14ac:dyDescent="0.95">
      <c r="A28" s="15">
        <v>2021</v>
      </c>
    </row>
    <row r="29" spans="1:1" x14ac:dyDescent="0.95">
      <c r="A29" s="15">
        <v>2022</v>
      </c>
    </row>
    <row r="30" spans="1:1" x14ac:dyDescent="0.95">
      <c r="A30" s="15">
        <v>2023</v>
      </c>
    </row>
    <row r="31" spans="1:1" x14ac:dyDescent="0.95">
      <c r="A31" s="15">
        <v>2024</v>
      </c>
    </row>
    <row r="32" spans="1:1" x14ac:dyDescent="0.95">
      <c r="A32" s="15">
        <v>2025</v>
      </c>
    </row>
    <row r="33" spans="1:1" x14ac:dyDescent="0.95">
      <c r="A33" s="15">
        <v>2026</v>
      </c>
    </row>
    <row r="34" spans="1:1" x14ac:dyDescent="0.95">
      <c r="A34" s="15">
        <v>2027</v>
      </c>
    </row>
    <row r="35" spans="1:1" x14ac:dyDescent="0.95">
      <c r="A35" s="15">
        <v>2028</v>
      </c>
    </row>
    <row r="36" spans="1:1" x14ac:dyDescent="0.95">
      <c r="A36" s="15">
        <v>2029</v>
      </c>
    </row>
    <row r="37" spans="1:1" x14ac:dyDescent="0.95">
      <c r="A37" s="15">
        <v>2030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A86F-233C-46D7-B20B-26487D1594A3}">
  <dimension ref="A1:J37"/>
  <sheetViews>
    <sheetView topLeftCell="A13" workbookViewId="0">
      <selection activeCell="A3" sqref="A3:A37"/>
    </sheetView>
  </sheetViews>
  <sheetFormatPr defaultRowHeight="23" x14ac:dyDescent="0.95"/>
  <cols>
    <col min="1" max="1" width="8.81640625" style="1" bestFit="1" customWidth="1"/>
  </cols>
  <sheetData>
    <row r="1" spans="1:10" x14ac:dyDescent="0.95">
      <c r="A1" s="1" t="s">
        <v>18</v>
      </c>
      <c r="C1" s="13" t="s">
        <v>24</v>
      </c>
      <c r="D1" s="13"/>
      <c r="E1" s="13"/>
      <c r="F1" s="13"/>
      <c r="G1" s="13"/>
      <c r="H1" s="13"/>
      <c r="I1" s="13"/>
      <c r="J1" s="13"/>
    </row>
    <row r="3" spans="1:10" x14ac:dyDescent="0.95">
      <c r="A3" s="16">
        <v>1998</v>
      </c>
    </row>
    <row r="4" spans="1:10" x14ac:dyDescent="0.95">
      <c r="A4" s="16">
        <v>1999</v>
      </c>
    </row>
    <row r="5" spans="1:10" x14ac:dyDescent="0.95">
      <c r="A5" s="16">
        <v>2000</v>
      </c>
    </row>
    <row r="6" spans="1:10" x14ac:dyDescent="0.95">
      <c r="A6" s="16">
        <v>2001</v>
      </c>
    </row>
    <row r="7" spans="1:10" x14ac:dyDescent="0.95">
      <c r="A7" s="16">
        <v>2002</v>
      </c>
    </row>
    <row r="8" spans="1:10" x14ac:dyDescent="0.95">
      <c r="A8" s="16">
        <v>2003</v>
      </c>
    </row>
    <row r="9" spans="1:10" x14ac:dyDescent="0.95">
      <c r="A9" s="16">
        <v>2004</v>
      </c>
    </row>
    <row r="10" spans="1:10" x14ac:dyDescent="0.95">
      <c r="A10" s="16">
        <v>2005</v>
      </c>
    </row>
    <row r="11" spans="1:10" x14ac:dyDescent="0.95">
      <c r="A11" s="16">
        <v>2006</v>
      </c>
    </row>
    <row r="12" spans="1:10" x14ac:dyDescent="0.95">
      <c r="A12" s="16">
        <v>2007</v>
      </c>
    </row>
    <row r="13" spans="1:10" x14ac:dyDescent="0.95">
      <c r="A13" s="16">
        <v>2008</v>
      </c>
    </row>
    <row r="14" spans="1:10" x14ac:dyDescent="0.95">
      <c r="A14" s="16">
        <v>2009</v>
      </c>
    </row>
    <row r="15" spans="1:10" x14ac:dyDescent="0.95">
      <c r="A15" s="16">
        <v>2010</v>
      </c>
    </row>
    <row r="16" spans="1:10" x14ac:dyDescent="0.95">
      <c r="A16" s="16">
        <v>2011</v>
      </c>
    </row>
    <row r="17" spans="1:1" x14ac:dyDescent="0.95">
      <c r="A17" s="16">
        <v>2012</v>
      </c>
    </row>
    <row r="18" spans="1:1" x14ac:dyDescent="0.95">
      <c r="A18" s="16">
        <v>2013</v>
      </c>
    </row>
    <row r="19" spans="1:1" x14ac:dyDescent="0.95">
      <c r="A19" s="16">
        <v>2014</v>
      </c>
    </row>
    <row r="20" spans="1:1" x14ac:dyDescent="0.95">
      <c r="A20" s="16">
        <v>2015</v>
      </c>
    </row>
    <row r="21" spans="1:1" x14ac:dyDescent="0.95">
      <c r="A21" s="16">
        <v>2016</v>
      </c>
    </row>
    <row r="22" spans="1:1" x14ac:dyDescent="0.95">
      <c r="A22" s="16">
        <v>2017</v>
      </c>
    </row>
    <row r="23" spans="1:1" x14ac:dyDescent="0.95">
      <c r="A23" s="16">
        <v>2018</v>
      </c>
    </row>
    <row r="24" spans="1:1" x14ac:dyDescent="0.95">
      <c r="A24" s="16">
        <v>2019</v>
      </c>
    </row>
    <row r="25" spans="1:1" x14ac:dyDescent="0.95">
      <c r="A25" s="16">
        <v>2020</v>
      </c>
    </row>
    <row r="26" spans="1:1" x14ac:dyDescent="0.95">
      <c r="A26" s="15">
        <v>2019</v>
      </c>
    </row>
    <row r="27" spans="1:1" x14ac:dyDescent="0.95">
      <c r="A27" s="15">
        <v>2020</v>
      </c>
    </row>
    <row r="28" spans="1:1" x14ac:dyDescent="0.95">
      <c r="A28" s="15">
        <v>2021</v>
      </c>
    </row>
    <row r="29" spans="1:1" x14ac:dyDescent="0.95">
      <c r="A29" s="15">
        <v>2022</v>
      </c>
    </row>
    <row r="30" spans="1:1" x14ac:dyDescent="0.95">
      <c r="A30" s="15">
        <v>2023</v>
      </c>
    </row>
    <row r="31" spans="1:1" x14ac:dyDescent="0.95">
      <c r="A31" s="15">
        <v>2024</v>
      </c>
    </row>
    <row r="32" spans="1:1" x14ac:dyDescent="0.95">
      <c r="A32" s="15">
        <v>2025</v>
      </c>
    </row>
    <row r="33" spans="1:1" x14ac:dyDescent="0.95">
      <c r="A33" s="15">
        <v>2026</v>
      </c>
    </row>
    <row r="34" spans="1:1" x14ac:dyDescent="0.95">
      <c r="A34" s="15">
        <v>2027</v>
      </c>
    </row>
    <row r="35" spans="1:1" x14ac:dyDescent="0.95">
      <c r="A35" s="15">
        <v>2028</v>
      </c>
    </row>
    <row r="36" spans="1:1" x14ac:dyDescent="0.95">
      <c r="A36" s="15">
        <v>2029</v>
      </c>
    </row>
    <row r="37" spans="1:1" x14ac:dyDescent="0.95">
      <c r="A37" s="15">
        <v>2030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1911-5D98-4196-8842-6CDE45E976DC}">
  <dimension ref="A1:AJ21"/>
  <sheetViews>
    <sheetView tabSelected="1" workbookViewId="0">
      <pane xSplit="1" ySplit="2" topLeftCell="P3" activePane="bottomRight" state="frozen"/>
      <selection pane="topRight" activeCell="B1" sqref="B1"/>
      <selection pane="bottomLeft" activeCell="A3" sqref="A3"/>
      <selection pane="bottomRight" activeCell="Y4" sqref="Y4:AJ19"/>
    </sheetView>
  </sheetViews>
  <sheetFormatPr defaultRowHeight="23" x14ac:dyDescent="0.95"/>
  <cols>
    <col min="1" max="1" width="8.81640625" style="1" bestFit="1" customWidth="1"/>
    <col min="19" max="19" width="9.54296875" bestFit="1" customWidth="1"/>
  </cols>
  <sheetData>
    <row r="1" spans="1:36" x14ac:dyDescent="0.95">
      <c r="A1" s="1" t="s">
        <v>18</v>
      </c>
      <c r="C1" s="13" t="s">
        <v>27</v>
      </c>
      <c r="D1" s="13"/>
      <c r="E1" s="13"/>
      <c r="F1" s="13"/>
      <c r="G1" s="13"/>
      <c r="H1" s="13"/>
      <c r="I1" s="13"/>
      <c r="J1" s="13"/>
      <c r="K1" s="13"/>
    </row>
    <row r="2" spans="1:36" ht="23.5" thickBot="1" x14ac:dyDescent="1">
      <c r="B2" s="16">
        <v>1998</v>
      </c>
      <c r="C2" s="16">
        <v>1999</v>
      </c>
      <c r="D2" s="16">
        <v>2000</v>
      </c>
      <c r="E2" s="16">
        <v>2001</v>
      </c>
      <c r="F2" s="16">
        <v>2002</v>
      </c>
      <c r="G2" s="16">
        <v>2003</v>
      </c>
      <c r="H2" s="16">
        <v>2004</v>
      </c>
      <c r="I2" s="16">
        <v>2005</v>
      </c>
      <c r="J2" s="16">
        <v>2006</v>
      </c>
      <c r="K2" s="16">
        <v>2007</v>
      </c>
      <c r="L2" s="16">
        <v>2008</v>
      </c>
      <c r="M2" s="16">
        <v>2009</v>
      </c>
      <c r="N2" s="16">
        <v>2010</v>
      </c>
      <c r="O2" s="16">
        <v>2011</v>
      </c>
      <c r="P2" s="16">
        <v>2012</v>
      </c>
      <c r="Q2" s="16">
        <v>2013</v>
      </c>
      <c r="R2" s="16">
        <v>2014</v>
      </c>
      <c r="S2" s="16">
        <v>2015</v>
      </c>
      <c r="T2" s="16">
        <v>2016</v>
      </c>
      <c r="U2" s="16">
        <v>2017</v>
      </c>
      <c r="V2" s="16">
        <v>2018</v>
      </c>
      <c r="W2" s="16">
        <v>2019</v>
      </c>
      <c r="X2" s="16">
        <v>2020</v>
      </c>
      <c r="Y2" s="15">
        <v>2019</v>
      </c>
      <c r="Z2" s="15">
        <v>2020</v>
      </c>
      <c r="AA2" s="15">
        <v>2021</v>
      </c>
      <c r="AB2" s="15">
        <v>2022</v>
      </c>
      <c r="AC2" s="15">
        <v>2023</v>
      </c>
      <c r="AD2" s="15">
        <v>2024</v>
      </c>
      <c r="AE2" s="15">
        <v>2025</v>
      </c>
      <c r="AF2" s="15">
        <v>2026</v>
      </c>
      <c r="AG2" s="15">
        <v>2027</v>
      </c>
      <c r="AH2" s="15">
        <v>2028</v>
      </c>
      <c r="AI2" s="15">
        <v>2029</v>
      </c>
      <c r="AJ2" s="15">
        <v>2030</v>
      </c>
    </row>
    <row r="3" spans="1:36" ht="15" thickBot="1" x14ac:dyDescent="0.4">
      <c r="A3" s="17">
        <v>0</v>
      </c>
      <c r="R3" s="19">
        <v>28472</v>
      </c>
      <c r="S3" s="19">
        <v>14547</v>
      </c>
    </row>
    <row r="4" spans="1:36" ht="15" thickBot="1" x14ac:dyDescent="0.4">
      <c r="A4" s="17" t="s">
        <v>47</v>
      </c>
      <c r="R4" s="20">
        <v>106597</v>
      </c>
      <c r="S4" s="20">
        <v>54637</v>
      </c>
      <c r="Y4" s="22">
        <v>112329.35768385294</v>
      </c>
      <c r="Z4" s="22">
        <v>112888.7802257186</v>
      </c>
      <c r="AA4" s="22">
        <v>111837.48625447584</v>
      </c>
      <c r="AB4" s="22">
        <v>110311.66675510156</v>
      </c>
      <c r="AC4" s="22">
        <v>110124.0383664642</v>
      </c>
      <c r="AD4" s="22">
        <v>114759.98630667818</v>
      </c>
      <c r="AE4" s="22">
        <v>112761.46374384731</v>
      </c>
      <c r="AF4" s="22">
        <v>111103.96205512567</v>
      </c>
      <c r="AG4" s="22">
        <v>109513.71265220175</v>
      </c>
      <c r="AH4" s="22">
        <v>107981.18203470574</v>
      </c>
      <c r="AI4" s="22">
        <v>106488.2385954576</v>
      </c>
      <c r="AJ4" s="22">
        <v>104965.50947977878</v>
      </c>
    </row>
    <row r="5" spans="1:36" ht="15" thickBot="1" x14ac:dyDescent="0.4">
      <c r="A5" s="17" t="s">
        <v>32</v>
      </c>
      <c r="R5" s="20">
        <v>117896</v>
      </c>
      <c r="S5" s="20">
        <v>60737</v>
      </c>
      <c r="Y5" s="22">
        <v>113135.39612698727</v>
      </c>
      <c r="Z5" s="22">
        <v>113020.51879429033</v>
      </c>
      <c r="AA5" s="22">
        <v>115039.63457621267</v>
      </c>
      <c r="AB5" s="22">
        <v>117905.67423692426</v>
      </c>
      <c r="AC5" s="22">
        <v>119066.96647010605</v>
      </c>
      <c r="AD5" s="22">
        <v>114274.94370123331</v>
      </c>
      <c r="AE5" s="22">
        <v>114847.5196443266</v>
      </c>
      <c r="AF5" s="22">
        <v>113773.44911302169</v>
      </c>
      <c r="AG5" s="22">
        <v>112208.44110610714</v>
      </c>
      <c r="AH5" s="22">
        <v>111998.64066134313</v>
      </c>
      <c r="AI5" s="22">
        <v>116695.97950856564</v>
      </c>
      <c r="AJ5" s="22">
        <v>114638.20489443027</v>
      </c>
    </row>
    <row r="6" spans="1:36" ht="15" thickBot="1" x14ac:dyDescent="0.4">
      <c r="A6" s="17" t="s">
        <v>33</v>
      </c>
      <c r="R6" s="20">
        <v>99565</v>
      </c>
      <c r="S6" s="20">
        <v>50934</v>
      </c>
      <c r="Y6" s="22">
        <v>131094.64680887797</v>
      </c>
      <c r="Z6" s="22">
        <v>130036.85110293044</v>
      </c>
      <c r="AA6" s="22">
        <v>126813.86085329921</v>
      </c>
      <c r="AB6" s="22">
        <v>122456.9700050862</v>
      </c>
      <c r="AC6" s="22">
        <v>118473.72528860839</v>
      </c>
      <c r="AD6" s="22">
        <v>116135.42970132144</v>
      </c>
      <c r="AE6" s="22">
        <v>116015.10120033097</v>
      </c>
      <c r="AF6" s="22">
        <v>118077.45336665931</v>
      </c>
      <c r="AG6" s="22">
        <v>120999.78033646355</v>
      </c>
      <c r="AH6" s="22">
        <v>122164.70397736</v>
      </c>
      <c r="AI6" s="22">
        <v>117223.08147146236</v>
      </c>
      <c r="AJ6" s="22">
        <v>117781.38902342606</v>
      </c>
    </row>
    <row r="7" spans="1:36" ht="15" thickBot="1" x14ac:dyDescent="0.4">
      <c r="A7" t="s">
        <v>34</v>
      </c>
      <c r="R7" s="20">
        <v>114191</v>
      </c>
      <c r="S7" s="20">
        <v>51756</v>
      </c>
      <c r="Y7" s="22">
        <v>89646.900141341335</v>
      </c>
      <c r="Z7" s="22">
        <v>93063.933155999606</v>
      </c>
      <c r="AA7" s="22">
        <v>96828.498202248316</v>
      </c>
      <c r="AB7" s="22">
        <v>100339.38361525988</v>
      </c>
      <c r="AC7" s="22">
        <v>102829.92786969282</v>
      </c>
      <c r="AD7" s="22">
        <v>103801.70958434662</v>
      </c>
      <c r="AE7" s="22">
        <v>102963.31013254639</v>
      </c>
      <c r="AF7" s="22">
        <v>100404.56930452745</v>
      </c>
      <c r="AG7" s="22">
        <v>96941.282804513045</v>
      </c>
      <c r="AH7" s="22">
        <v>93768.285924291762</v>
      </c>
      <c r="AI7" s="22">
        <v>91898.389355799518</v>
      </c>
      <c r="AJ7" s="22">
        <v>91778.10562434778</v>
      </c>
    </row>
    <row r="8" spans="1:36" ht="15" thickBot="1" x14ac:dyDescent="0.4">
      <c r="A8" t="s">
        <v>35</v>
      </c>
      <c r="R8" s="20">
        <v>127412</v>
      </c>
      <c r="S8" s="20">
        <v>64618</v>
      </c>
      <c r="Y8" s="22">
        <v>59791.39360966286</v>
      </c>
      <c r="Z8" s="22">
        <v>59717.559300809175</v>
      </c>
      <c r="AA8" s="22">
        <v>60539.091594486337</v>
      </c>
      <c r="AB8" s="22">
        <v>62097.654600780268</v>
      </c>
      <c r="AC8" s="22">
        <v>64125.075767671355</v>
      </c>
      <c r="AD8" s="22">
        <v>66388.759716570348</v>
      </c>
      <c r="AE8" s="22">
        <v>68930.726236459086</v>
      </c>
      <c r="AF8" s="22">
        <v>71725.040613132936</v>
      </c>
      <c r="AG8" s="22">
        <v>74324.94175771116</v>
      </c>
      <c r="AH8" s="22">
        <v>76160.807142269725</v>
      </c>
      <c r="AI8" s="22">
        <v>76868.813011490958</v>
      </c>
      <c r="AJ8" s="22">
        <v>76228.090713202619</v>
      </c>
    </row>
    <row r="9" spans="1:36" ht="15" thickBot="1" x14ac:dyDescent="0.4">
      <c r="A9" t="s">
        <v>36</v>
      </c>
      <c r="R9" s="20">
        <v>126434</v>
      </c>
      <c r="S9" s="20">
        <v>63261</v>
      </c>
      <c r="Y9" s="22">
        <v>68955.046854900269</v>
      </c>
      <c r="Z9" s="22">
        <v>67760.025286646734</v>
      </c>
      <c r="AA9" s="22">
        <v>65628.464612850861</v>
      </c>
      <c r="AB9" s="22">
        <v>63116.479290061558</v>
      </c>
      <c r="AC9" s="22">
        <v>61012.9871907161</v>
      </c>
      <c r="AD9" s="22">
        <v>59880.232079939247</v>
      </c>
      <c r="AE9" s="22">
        <v>59824.978968176649</v>
      </c>
      <c r="AF9" s="22">
        <v>60660.846443916045</v>
      </c>
      <c r="AG9" s="22">
        <v>62229.297723882657</v>
      </c>
      <c r="AH9" s="22">
        <v>64260.209704218614</v>
      </c>
      <c r="AI9" s="22">
        <v>66524.168669934545</v>
      </c>
      <c r="AJ9" s="22">
        <v>69058.771686181834</v>
      </c>
    </row>
    <row r="10" spans="1:36" ht="15" thickBot="1" x14ac:dyDescent="0.4">
      <c r="A10" t="s">
        <v>37</v>
      </c>
      <c r="R10" s="20">
        <v>105550</v>
      </c>
      <c r="S10" s="20">
        <v>54887</v>
      </c>
      <c r="Y10" s="22">
        <v>71052.979370197951</v>
      </c>
      <c r="Z10" s="22">
        <v>71839.59493733308</v>
      </c>
      <c r="AA10" s="22">
        <v>73475.162845935323</v>
      </c>
      <c r="AB10" s="22">
        <v>75370.612481137068</v>
      </c>
      <c r="AC10" s="22">
        <v>76656.521903962348</v>
      </c>
      <c r="AD10" s="22">
        <v>76758.68938496086</v>
      </c>
      <c r="AE10" s="22">
        <v>75455.584481169397</v>
      </c>
      <c r="AF10" s="22">
        <v>73101.425923997871</v>
      </c>
      <c r="AG10" s="22">
        <v>70314.943132547574</v>
      </c>
      <c r="AH10" s="22">
        <v>67974.445982445162</v>
      </c>
      <c r="AI10" s="22">
        <v>66710.518246032472</v>
      </c>
      <c r="AJ10" s="22">
        <v>66639.207783051927</v>
      </c>
    </row>
    <row r="11" spans="1:36" ht="15" thickBot="1" x14ac:dyDescent="0.4">
      <c r="A11" t="s">
        <v>38</v>
      </c>
      <c r="R11" s="20">
        <v>58632</v>
      </c>
      <c r="S11" s="20">
        <v>30334</v>
      </c>
      <c r="Y11" s="22">
        <v>82420.4141126014</v>
      </c>
      <c r="Z11" s="22">
        <v>84759.867700164832</v>
      </c>
      <c r="AA11" s="22">
        <v>84716.891415388469</v>
      </c>
      <c r="AB11" s="22">
        <v>83248.112836297296</v>
      </c>
      <c r="AC11" s="22">
        <v>81794.66851192707</v>
      </c>
      <c r="AD11" s="22">
        <v>81368.539617945775</v>
      </c>
      <c r="AE11" s="22">
        <v>82306.23077281905</v>
      </c>
      <c r="AF11" s="22">
        <v>84209.214940811187</v>
      </c>
      <c r="AG11" s="22">
        <v>86401.978988687057</v>
      </c>
      <c r="AH11" s="22">
        <v>87885.654360628396</v>
      </c>
      <c r="AI11" s="22">
        <v>88006.095318452921</v>
      </c>
      <c r="AJ11" s="22">
        <v>86505.446987520249</v>
      </c>
    </row>
    <row r="12" spans="1:36" ht="15" thickBot="1" x14ac:dyDescent="0.4">
      <c r="A12" t="s">
        <v>39</v>
      </c>
      <c r="R12" s="20">
        <v>59155</v>
      </c>
      <c r="S12" s="20">
        <v>23755</v>
      </c>
      <c r="Y12" s="22">
        <v>58391.590146227594</v>
      </c>
      <c r="Z12" s="22">
        <v>64640.718507109894</v>
      </c>
      <c r="AA12" s="22">
        <v>73827.009316459938</v>
      </c>
      <c r="AB12" s="22">
        <v>84238.061507635706</v>
      </c>
      <c r="AC12" s="22">
        <v>93481.352914798073</v>
      </c>
      <c r="AD12" s="22">
        <v>99893.05851119927</v>
      </c>
      <c r="AE12" s="22">
        <v>102783.39646885791</v>
      </c>
      <c r="AF12" s="22">
        <v>102774.9405443344</v>
      </c>
      <c r="AG12" s="22">
        <v>101026.00959970779</v>
      </c>
      <c r="AH12" s="22">
        <v>99282.247553097128</v>
      </c>
      <c r="AI12" s="22">
        <v>98777.799088439424</v>
      </c>
      <c r="AJ12" s="22">
        <v>99918.098190996607</v>
      </c>
    </row>
    <row r="13" spans="1:36" ht="15" thickBot="1" x14ac:dyDescent="0.4">
      <c r="A13" s="18" t="s">
        <v>40</v>
      </c>
      <c r="R13" s="20">
        <v>51743</v>
      </c>
      <c r="S13" s="20">
        <v>23262</v>
      </c>
      <c r="Y13" s="22">
        <v>66187.659724400422</v>
      </c>
      <c r="Z13" s="22">
        <v>64586.474398207705</v>
      </c>
      <c r="AA13" s="22">
        <v>61935.350852124277</v>
      </c>
      <c r="AB13" s="22">
        <v>59551.017247203417</v>
      </c>
      <c r="AC13" s="22">
        <v>59223.777515375543</v>
      </c>
      <c r="AD13" s="22">
        <v>62105.45045376457</v>
      </c>
      <c r="AE13" s="22">
        <v>68811.098756403939</v>
      </c>
      <c r="AF13" s="22">
        <v>78641.318058809062</v>
      </c>
      <c r="AG13" s="22">
        <v>89774.022285315034</v>
      </c>
      <c r="AH13" s="22">
        <v>99657.655191350088</v>
      </c>
      <c r="AI13" s="22">
        <v>106519.0591450144</v>
      </c>
      <c r="AJ13" s="22">
        <v>109616.66415517261</v>
      </c>
    </row>
    <row r="14" spans="1:36" ht="15" thickBot="1" x14ac:dyDescent="0.4">
      <c r="A14" t="s">
        <v>41</v>
      </c>
      <c r="R14" s="20">
        <v>44315</v>
      </c>
      <c r="S14" s="20">
        <v>18666</v>
      </c>
      <c r="Y14" s="22">
        <v>61550.507303249477</v>
      </c>
      <c r="Z14" s="22">
        <v>62789.505073403168</v>
      </c>
      <c r="AA14" s="22">
        <v>64432.848697895555</v>
      </c>
      <c r="AB14" s="22">
        <v>66026.461340155307</v>
      </c>
      <c r="AC14" s="22">
        <v>66947.484092914558</v>
      </c>
      <c r="AD14" s="22">
        <v>66850.887922826325</v>
      </c>
      <c r="AE14" s="22">
        <v>65305.883825066325</v>
      </c>
      <c r="AF14" s="22">
        <v>62685.362081055348</v>
      </c>
      <c r="AG14" s="22">
        <v>60325.17684202762</v>
      </c>
      <c r="AH14" s="22">
        <v>60040.609670799575</v>
      </c>
      <c r="AI14" s="22">
        <v>63005.747657202992</v>
      </c>
      <c r="AJ14" s="22">
        <v>69844.186535597924</v>
      </c>
    </row>
    <row r="15" spans="1:36" ht="15" thickBot="1" x14ac:dyDescent="0.4">
      <c r="A15" t="s">
        <v>42</v>
      </c>
      <c r="R15" s="20">
        <v>31167</v>
      </c>
      <c r="S15" s="20">
        <v>11795</v>
      </c>
      <c r="Y15" s="22">
        <v>54727.298135404475</v>
      </c>
      <c r="Z15" s="22">
        <v>56146.438426647524</v>
      </c>
      <c r="AA15" s="22">
        <v>57027.194783865358</v>
      </c>
      <c r="AB15" s="22">
        <v>57594.868130770687</v>
      </c>
      <c r="AC15" s="22">
        <v>58186.009883243685</v>
      </c>
      <c r="AD15" s="22">
        <v>59026.664064318844</v>
      </c>
      <c r="AE15" s="22">
        <v>60322.38581513735</v>
      </c>
      <c r="AF15" s="22">
        <v>61992.843562245092</v>
      </c>
      <c r="AG15" s="22">
        <v>63606.966671742979</v>
      </c>
      <c r="AH15" s="22">
        <v>64562.380053042551</v>
      </c>
      <c r="AI15" s="22">
        <v>64528.24692599049</v>
      </c>
      <c r="AJ15" s="22">
        <v>63085.529843684555</v>
      </c>
    </row>
    <row r="16" spans="1:36" ht="15" thickBot="1" x14ac:dyDescent="0.4">
      <c r="A16" t="s">
        <v>43</v>
      </c>
      <c r="R16" s="20">
        <v>25786</v>
      </c>
      <c r="S16" s="20">
        <v>8560</v>
      </c>
      <c r="Y16" s="22">
        <v>40648.012292082283</v>
      </c>
      <c r="Z16" s="22">
        <v>43016.101404172783</v>
      </c>
      <c r="AA16" s="22">
        <v>45807.979480426126</v>
      </c>
      <c r="AB16" s="22">
        <v>48730.698408652868</v>
      </c>
      <c r="AC16" s="22">
        <v>51404.555818951303</v>
      </c>
      <c r="AD16" s="22">
        <v>53576.190920755107</v>
      </c>
      <c r="AE16" s="22">
        <v>55108.885891449288</v>
      </c>
      <c r="AF16" s="22">
        <v>56102.770032693334</v>
      </c>
      <c r="AG16" s="22">
        <v>56782.134599367273</v>
      </c>
      <c r="AH16" s="22">
        <v>57475.000532030535</v>
      </c>
      <c r="AI16" s="22">
        <v>58406.152897798107</v>
      </c>
      <c r="AJ16" s="22">
        <v>59778.504259615074</v>
      </c>
    </row>
    <row r="17" spans="1:36" ht="15" thickBot="1" x14ac:dyDescent="0.4">
      <c r="A17" t="s">
        <v>44</v>
      </c>
      <c r="R17" s="20">
        <v>17875</v>
      </c>
      <c r="S17" s="20">
        <v>7067</v>
      </c>
      <c r="Y17" s="22">
        <v>32524.968489892937</v>
      </c>
      <c r="Z17" s="22">
        <v>33762.496507144606</v>
      </c>
      <c r="AA17" s="22">
        <v>34895.474894415966</v>
      </c>
      <c r="AB17" s="22">
        <v>36096.350112972432</v>
      </c>
      <c r="AC17" s="22">
        <v>37610.400518636176</v>
      </c>
      <c r="AD17" s="22">
        <v>39585.340076456545</v>
      </c>
      <c r="AE17" s="22">
        <v>42080.757494913152</v>
      </c>
      <c r="AF17" s="22">
        <v>44980.825147325413</v>
      </c>
      <c r="AG17" s="22">
        <v>48009.765914444419</v>
      </c>
      <c r="AH17" s="22">
        <v>50794.316366638828</v>
      </c>
      <c r="AI17" s="22">
        <v>53085.70473608654</v>
      </c>
      <c r="AJ17" s="22">
        <v>54743.513205524665</v>
      </c>
    </row>
    <row r="18" spans="1:36" ht="15" thickBot="1" x14ac:dyDescent="0.4">
      <c r="A18" t="s">
        <v>45</v>
      </c>
      <c r="R18" s="20">
        <v>12364</v>
      </c>
      <c r="S18" s="20">
        <v>4643</v>
      </c>
      <c r="Y18" s="22">
        <v>22511.466767926944</v>
      </c>
      <c r="Z18" s="22">
        <v>23839.799110124783</v>
      </c>
      <c r="AA18" s="22">
        <v>25378.718262178303</v>
      </c>
      <c r="AB18" s="22">
        <v>27021.712976060247</v>
      </c>
      <c r="AC18" s="22">
        <v>28648.459979163556</v>
      </c>
      <c r="AD18" s="22">
        <v>30181.911272433092</v>
      </c>
      <c r="AE18" s="22">
        <v>31557.870367994572</v>
      </c>
      <c r="AF18" s="22">
        <v>32829.328742389291</v>
      </c>
      <c r="AG18" s="22">
        <v>34166.865413081869</v>
      </c>
      <c r="AH18" s="22">
        <v>35801.810290225301</v>
      </c>
      <c r="AI18" s="22">
        <v>37876.142185368495</v>
      </c>
      <c r="AJ18" s="22">
        <v>40449.250509328325</v>
      </c>
    </row>
    <row r="19" spans="1:36" ht="15" thickBot="1" x14ac:dyDescent="0.4">
      <c r="A19" t="s">
        <v>46</v>
      </c>
      <c r="R19" s="20">
        <v>18328</v>
      </c>
      <c r="S19" s="20">
        <v>7048</v>
      </c>
      <c r="Y19" s="22">
        <v>28557.045290670292</v>
      </c>
      <c r="Z19" s="22">
        <v>29299.47683333352</v>
      </c>
      <c r="AA19" s="22">
        <v>30259.380914126763</v>
      </c>
      <c r="AB19" s="22">
        <v>31424.656718874456</v>
      </c>
      <c r="AC19" s="22">
        <v>32820.042919024898</v>
      </c>
      <c r="AD19" s="22">
        <v>34470.196577491653</v>
      </c>
      <c r="AE19" s="22">
        <v>36404.233993758913</v>
      </c>
      <c r="AF19" s="22">
        <v>38628.722274994958</v>
      </c>
      <c r="AG19" s="22">
        <v>41082.097143329243</v>
      </c>
      <c r="AH19" s="22">
        <v>43683.779236446411</v>
      </c>
      <c r="AI19" s="22">
        <v>46385.643267047788</v>
      </c>
      <c r="AJ19" s="22">
        <v>49152.334455597695</v>
      </c>
    </row>
    <row r="20" spans="1:36" ht="23.5" thickBot="1" x14ac:dyDescent="1">
      <c r="R20" s="20">
        <v>1145482</v>
      </c>
      <c r="S20" s="21">
        <f>SUM(S3:S19)</f>
        <v>550507</v>
      </c>
    </row>
    <row r="21" spans="1:36" x14ac:dyDescent="0.95">
      <c r="S2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D0EB-F063-49BF-8939-24F8D9F94034}">
  <dimension ref="A1:R37"/>
  <sheetViews>
    <sheetView topLeftCell="A16" workbookViewId="0">
      <selection activeCell="J10" sqref="J10"/>
    </sheetView>
  </sheetViews>
  <sheetFormatPr defaultRowHeight="23" x14ac:dyDescent="0.95"/>
  <cols>
    <col min="1" max="1" width="8.81640625" style="1" bestFit="1" customWidth="1"/>
  </cols>
  <sheetData>
    <row r="1" spans="1:18" ht="23.5" thickBot="1" x14ac:dyDescent="1">
      <c r="A1" s="1" t="s">
        <v>18</v>
      </c>
      <c r="C1" s="13" t="s">
        <v>27</v>
      </c>
      <c r="D1" s="13"/>
      <c r="E1" s="13"/>
      <c r="F1" s="13"/>
      <c r="G1" s="13"/>
      <c r="H1" s="13"/>
      <c r="I1" s="13"/>
      <c r="J1" s="13"/>
      <c r="K1" s="13"/>
    </row>
    <row r="2" spans="1:18" ht="23.5" thickBot="1" x14ac:dyDescent="1">
      <c r="B2" s="17">
        <v>0</v>
      </c>
      <c r="C2" s="17" t="s">
        <v>47</v>
      </c>
      <c r="D2" s="17" t="s">
        <v>32</v>
      </c>
      <c r="E2" s="17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s="18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</row>
    <row r="3" spans="1:18" x14ac:dyDescent="0.95">
      <c r="A3" s="16">
        <v>1998</v>
      </c>
    </row>
    <row r="4" spans="1:18" x14ac:dyDescent="0.95">
      <c r="A4" s="16">
        <v>1999</v>
      </c>
    </row>
    <row r="5" spans="1:18" x14ac:dyDescent="0.95">
      <c r="A5" s="16">
        <v>2000</v>
      </c>
    </row>
    <row r="6" spans="1:18" x14ac:dyDescent="0.95">
      <c r="A6" s="16">
        <v>2001</v>
      </c>
    </row>
    <row r="7" spans="1:18" x14ac:dyDescent="0.95">
      <c r="A7" s="16">
        <v>2002</v>
      </c>
    </row>
    <row r="8" spans="1:18" x14ac:dyDescent="0.95">
      <c r="A8" s="16">
        <v>2003</v>
      </c>
    </row>
    <row r="9" spans="1:18" x14ac:dyDescent="0.95">
      <c r="A9" s="16">
        <v>2004</v>
      </c>
    </row>
    <row r="10" spans="1:18" x14ac:dyDescent="0.95">
      <c r="A10" s="16">
        <v>2005</v>
      </c>
    </row>
    <row r="11" spans="1:18" x14ac:dyDescent="0.95">
      <c r="A11" s="16">
        <v>2006</v>
      </c>
    </row>
    <row r="12" spans="1:18" x14ac:dyDescent="0.95">
      <c r="A12" s="16">
        <v>2007</v>
      </c>
    </row>
    <row r="13" spans="1:18" x14ac:dyDescent="0.95">
      <c r="A13" s="16">
        <v>2008</v>
      </c>
    </row>
    <row r="14" spans="1:18" x14ac:dyDescent="0.95">
      <c r="A14" s="16">
        <v>2009</v>
      </c>
    </row>
    <row r="15" spans="1:18" x14ac:dyDescent="0.95">
      <c r="A15" s="16">
        <v>2010</v>
      </c>
    </row>
    <row r="16" spans="1:18" x14ac:dyDescent="0.95">
      <c r="A16" s="16">
        <v>2011</v>
      </c>
    </row>
    <row r="17" spans="1:1" x14ac:dyDescent="0.95">
      <c r="A17" s="16">
        <v>2012</v>
      </c>
    </row>
    <row r="18" spans="1:1" x14ac:dyDescent="0.95">
      <c r="A18" s="16">
        <v>2013</v>
      </c>
    </row>
    <row r="19" spans="1:1" x14ac:dyDescent="0.95">
      <c r="A19" s="16">
        <v>2014</v>
      </c>
    </row>
    <row r="20" spans="1:1" x14ac:dyDescent="0.95">
      <c r="A20" s="16">
        <v>2015</v>
      </c>
    </row>
    <row r="21" spans="1:1" x14ac:dyDescent="0.95">
      <c r="A21" s="16">
        <v>2016</v>
      </c>
    </row>
    <row r="22" spans="1:1" x14ac:dyDescent="0.95">
      <c r="A22" s="16">
        <v>2017</v>
      </c>
    </row>
    <row r="23" spans="1:1" x14ac:dyDescent="0.95">
      <c r="A23" s="16">
        <v>2018</v>
      </c>
    </row>
    <row r="24" spans="1:1" x14ac:dyDescent="0.95">
      <c r="A24" s="16">
        <v>2019</v>
      </c>
    </row>
    <row r="25" spans="1:1" x14ac:dyDescent="0.95">
      <c r="A25" s="16">
        <v>2020</v>
      </c>
    </row>
    <row r="26" spans="1:1" x14ac:dyDescent="0.95">
      <c r="A26" s="15">
        <v>2019</v>
      </c>
    </row>
    <row r="27" spans="1:1" x14ac:dyDescent="0.95">
      <c r="A27" s="15">
        <v>2020</v>
      </c>
    </row>
    <row r="28" spans="1:1" x14ac:dyDescent="0.95">
      <c r="A28" s="15">
        <v>2021</v>
      </c>
    </row>
    <row r="29" spans="1:1" x14ac:dyDescent="0.95">
      <c r="A29" s="15">
        <v>2022</v>
      </c>
    </row>
    <row r="30" spans="1:1" x14ac:dyDescent="0.95">
      <c r="A30" s="15">
        <v>2023</v>
      </c>
    </row>
    <row r="31" spans="1:1" x14ac:dyDescent="0.95">
      <c r="A31" s="15">
        <v>2024</v>
      </c>
    </row>
    <row r="32" spans="1:1" x14ac:dyDescent="0.95">
      <c r="A32" s="15">
        <v>2025</v>
      </c>
    </row>
    <row r="33" spans="1:1" x14ac:dyDescent="0.95">
      <c r="A33" s="15">
        <v>2026</v>
      </c>
    </row>
    <row r="34" spans="1:1" x14ac:dyDescent="0.95">
      <c r="A34" s="15">
        <v>2027</v>
      </c>
    </row>
    <row r="35" spans="1:1" x14ac:dyDescent="0.95">
      <c r="A35" s="15">
        <v>2028</v>
      </c>
    </row>
    <row r="36" spans="1:1" x14ac:dyDescent="0.95">
      <c r="A36" s="15">
        <v>2029</v>
      </c>
    </row>
    <row r="37" spans="1:1" x14ac:dyDescent="0.95">
      <c r="A37" s="15">
        <v>2030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8BE9-7DEE-4DF6-BDBB-1216A3A56B76}">
  <dimension ref="A1:L16"/>
  <sheetViews>
    <sheetView workbookViewId="0">
      <selection sqref="A1:L16"/>
    </sheetView>
  </sheetViews>
  <sheetFormatPr defaultRowHeight="14.5" x14ac:dyDescent="0.35"/>
  <sheetData>
    <row r="1" spans="1:12" x14ac:dyDescent="0.35">
      <c r="A1">
        <v>82570.462426052298</v>
      </c>
      <c r="B1">
        <v>83113.06585504557</v>
      </c>
      <c r="C1">
        <v>82457.276615244205</v>
      </c>
      <c r="D1">
        <v>81447.813782036101</v>
      </c>
      <c r="E1">
        <v>81440.187488835523</v>
      </c>
      <c r="F1">
        <v>85040.360272506427</v>
      </c>
      <c r="G1">
        <v>83731.289290722139</v>
      </c>
      <c r="H1">
        <v>82692.478854577334</v>
      </c>
      <c r="I1">
        <v>81713.026929375075</v>
      </c>
      <c r="J1">
        <v>80772.994590869319</v>
      </c>
      <c r="K1">
        <v>79837.691289164723</v>
      </c>
      <c r="L1">
        <v>78900.269329990726</v>
      </c>
    </row>
    <row r="2" spans="1:12" x14ac:dyDescent="0.35">
      <c r="A2">
        <v>87010.228660690438</v>
      </c>
      <c r="B2">
        <v>87059.503421203102</v>
      </c>
      <c r="C2">
        <v>88742.048634401755</v>
      </c>
      <c r="D2">
        <v>91082.104753114167</v>
      </c>
      <c r="E2">
        <v>92127.289031358232</v>
      </c>
      <c r="F2">
        <v>88598.421930451281</v>
      </c>
      <c r="G2">
        <v>89225.51448236451</v>
      </c>
      <c r="H2">
        <v>88596.742761126152</v>
      </c>
      <c r="I2">
        <v>87596.890899660968</v>
      </c>
      <c r="J2">
        <v>87653.896275167092</v>
      </c>
      <c r="K2">
        <v>91538.246063475017</v>
      </c>
      <c r="L2">
        <v>90157.448271656758</v>
      </c>
    </row>
    <row r="3" spans="1:12" x14ac:dyDescent="0.35">
      <c r="A3">
        <v>94346.439375194124</v>
      </c>
      <c r="B3">
        <v>93733.337746845282</v>
      </c>
      <c r="C3">
        <v>91541.37474226956</v>
      </c>
      <c r="D3">
        <v>88521.876109041739</v>
      </c>
      <c r="E3">
        <v>85780.346432173683</v>
      </c>
      <c r="F3">
        <v>84257.476956116589</v>
      </c>
      <c r="G3">
        <v>84343.323940533082</v>
      </c>
      <c r="H3">
        <v>86042.408325236029</v>
      </c>
      <c r="I3">
        <v>88392.719074896275</v>
      </c>
      <c r="J3">
        <v>89469.079568730944</v>
      </c>
      <c r="K3">
        <v>86045.581771970246</v>
      </c>
      <c r="L3">
        <v>86679.750949680063</v>
      </c>
    </row>
    <row r="4" spans="1:12" x14ac:dyDescent="0.35">
      <c r="A4">
        <v>81060.913078147045</v>
      </c>
      <c r="B4">
        <v>84283.914647241909</v>
      </c>
      <c r="C4">
        <v>87819.2167113982</v>
      </c>
      <c r="D4">
        <v>91132.689410675812</v>
      </c>
      <c r="E4">
        <v>93545.077712395883</v>
      </c>
      <c r="F4">
        <v>94620.204669029859</v>
      </c>
      <c r="G4">
        <v>94049.034839055326</v>
      </c>
      <c r="H4">
        <v>91925.227870909977</v>
      </c>
      <c r="I4">
        <v>88976.707645109229</v>
      </c>
      <c r="J4">
        <v>86281.732596641756</v>
      </c>
      <c r="K4">
        <v>84753.764880161383</v>
      </c>
      <c r="L4">
        <v>84862.482096512394</v>
      </c>
    </row>
    <row r="5" spans="1:12" x14ac:dyDescent="0.35">
      <c r="A5">
        <v>72345.730528834538</v>
      </c>
      <c r="B5">
        <v>72370.797908322027</v>
      </c>
      <c r="C5">
        <v>73471.73218458565</v>
      </c>
      <c r="D5">
        <v>75470.28175523071</v>
      </c>
      <c r="E5">
        <v>78059.778770797493</v>
      </c>
      <c r="F5">
        <v>80978.913949083115</v>
      </c>
      <c r="G5">
        <v>84252.48458509054</v>
      </c>
      <c r="H5">
        <v>87871.907954359413</v>
      </c>
      <c r="I5">
        <v>91285.156164345826</v>
      </c>
      <c r="J5">
        <v>93776.157647291315</v>
      </c>
      <c r="K5">
        <v>94863.531938546643</v>
      </c>
      <c r="L5">
        <v>94316.939277857542</v>
      </c>
    </row>
    <row r="6" spans="1:12" x14ac:dyDescent="0.35">
      <c r="A6">
        <v>82519.005275724776</v>
      </c>
      <c r="B6">
        <v>81217.303548497875</v>
      </c>
      <c r="C6">
        <v>78775.345906553164</v>
      </c>
      <c r="D6">
        <v>75867.755381612136</v>
      </c>
      <c r="E6">
        <v>73457.375754187116</v>
      </c>
      <c r="F6">
        <v>72239.472070673539</v>
      </c>
      <c r="G6">
        <v>72321.281542351382</v>
      </c>
      <c r="H6">
        <v>73502.382306035201</v>
      </c>
      <c r="I6">
        <v>75591.711942320224</v>
      </c>
      <c r="J6">
        <v>78255.835121855984</v>
      </c>
      <c r="K6">
        <v>81197.426951382775</v>
      </c>
      <c r="L6">
        <v>84509.824935772529</v>
      </c>
    </row>
    <row r="7" spans="1:12" x14ac:dyDescent="0.35">
      <c r="A7">
        <v>77882.024307980144</v>
      </c>
      <c r="B7">
        <v>78868.919990210998</v>
      </c>
      <c r="C7">
        <v>80780.333861327395</v>
      </c>
      <c r="D7">
        <v>82981.928935678385</v>
      </c>
      <c r="E7">
        <v>84533.576281349466</v>
      </c>
      <c r="F7">
        <v>84817.535837926785</v>
      </c>
      <c r="G7">
        <v>83549.134976486836</v>
      </c>
      <c r="H7">
        <v>81130.809515853936</v>
      </c>
      <c r="I7">
        <v>78233.709415959849</v>
      </c>
      <c r="J7">
        <v>75820.611057239468</v>
      </c>
      <c r="K7">
        <v>74580.301940798876</v>
      </c>
      <c r="L7">
        <v>74693.909241486981</v>
      </c>
    </row>
    <row r="8" spans="1:12" x14ac:dyDescent="0.35">
      <c r="A8">
        <v>72363.953483687394</v>
      </c>
      <c r="B8">
        <v>74535.787563300386</v>
      </c>
      <c r="C8">
        <v>74604.951717787844</v>
      </c>
      <c r="D8">
        <v>73415.613835452401</v>
      </c>
      <c r="E8">
        <v>72249.972259929113</v>
      </c>
      <c r="F8">
        <v>72019.015015512763</v>
      </c>
      <c r="G8">
        <v>72998.819929609803</v>
      </c>
      <c r="H8">
        <v>74860.39859362875</v>
      </c>
      <c r="I8">
        <v>77002.094486996546</v>
      </c>
      <c r="J8">
        <v>78522.144126079889</v>
      </c>
      <c r="K8">
        <v>78808.875543810136</v>
      </c>
      <c r="L8">
        <v>77666.077962823518</v>
      </c>
    </row>
    <row r="9" spans="1:12" x14ac:dyDescent="0.35">
      <c r="A9">
        <v>42634.909898733888</v>
      </c>
      <c r="B9">
        <v>47272.470918870764</v>
      </c>
      <c r="C9">
        <v>54068.020730010117</v>
      </c>
      <c r="D9">
        <v>61780.291777325387</v>
      </c>
      <c r="E9">
        <v>68669.712761416857</v>
      </c>
      <c r="F9">
        <v>73528.12985061924</v>
      </c>
      <c r="G9">
        <v>75811.247727807102</v>
      </c>
      <c r="H9">
        <v>75981.402289614591</v>
      </c>
      <c r="I9">
        <v>74875.476870676226</v>
      </c>
      <c r="J9">
        <v>73768.90094577393</v>
      </c>
      <c r="K9">
        <v>73561.279967853145</v>
      </c>
      <c r="L9">
        <v>74603.573866904757</v>
      </c>
    </row>
    <row r="10" spans="1:12" x14ac:dyDescent="0.35">
      <c r="A10">
        <v>43125.499364489646</v>
      </c>
      <c r="B10">
        <v>42148.853975052785</v>
      </c>
      <c r="C10">
        <v>40476.771231794002</v>
      </c>
      <c r="D10">
        <v>38973.807838437555</v>
      </c>
      <c r="E10">
        <v>38822.045190741337</v>
      </c>
      <c r="F10">
        <v>40793.408079740089</v>
      </c>
      <c r="G10">
        <v>45290.929788007983</v>
      </c>
      <c r="H10">
        <v>51881.547120295494</v>
      </c>
      <c r="I10">
        <v>59374.388572959549</v>
      </c>
      <c r="J10">
        <v>66077.627567992677</v>
      </c>
      <c r="K10">
        <v>70787.947181606374</v>
      </c>
      <c r="L10">
        <v>73035.518922540359</v>
      </c>
    </row>
    <row r="11" spans="1:12" x14ac:dyDescent="0.35">
      <c r="A11">
        <v>40387.093056807797</v>
      </c>
      <c r="B11">
        <v>41265.308773435841</v>
      </c>
      <c r="C11">
        <v>42406.110403309649</v>
      </c>
      <c r="D11">
        <v>43516.656899213849</v>
      </c>
      <c r="E11">
        <v>44194.722724559404</v>
      </c>
      <c r="F11">
        <v>44220.260906792515</v>
      </c>
      <c r="G11">
        <v>43287.140939578116</v>
      </c>
      <c r="H11">
        <v>41646.846303464925</v>
      </c>
      <c r="I11">
        <v>40179.165915363352</v>
      </c>
      <c r="J11">
        <v>40090.614918880477</v>
      </c>
      <c r="K11">
        <v>42166.350334315124</v>
      </c>
      <c r="L11">
        <v>46864.247525489132</v>
      </c>
    </row>
    <row r="12" spans="1:12" x14ac:dyDescent="0.35">
      <c r="A12">
        <v>39796.944894603104</v>
      </c>
      <c r="B12">
        <v>40893.56939331512</v>
      </c>
      <c r="C12">
        <v>41594.689188297489</v>
      </c>
      <c r="D12">
        <v>42068.406117856641</v>
      </c>
      <c r="E12">
        <v>42568.612698579949</v>
      </c>
      <c r="F12">
        <v>43271.019514985222</v>
      </c>
      <c r="G12">
        <v>44311.848617859083</v>
      </c>
      <c r="H12">
        <v>45644.904906170901</v>
      </c>
      <c r="I12">
        <v>46950.666964821932</v>
      </c>
      <c r="J12">
        <v>47776.23516710908</v>
      </c>
      <c r="K12">
        <v>47859.755706325064</v>
      </c>
      <c r="L12">
        <v>46911.131391974588</v>
      </c>
    </row>
    <row r="13" spans="1:12" x14ac:dyDescent="0.35">
      <c r="A13">
        <v>28437.828262805535</v>
      </c>
      <c r="B13">
        <v>30142.22047721325</v>
      </c>
      <c r="C13">
        <v>32144.62759571656</v>
      </c>
      <c r="D13">
        <v>34244.142314624718</v>
      </c>
      <c r="E13">
        <v>36181.279350308992</v>
      </c>
      <c r="F13">
        <v>37786.103503198734</v>
      </c>
      <c r="G13">
        <v>38947.032914158961</v>
      </c>
      <c r="H13">
        <v>39741.700102801711</v>
      </c>
      <c r="I13">
        <v>40323.682235574306</v>
      </c>
      <c r="J13">
        <v>40918.7881946946</v>
      </c>
      <c r="K13">
        <v>41676.438603162205</v>
      </c>
      <c r="L13">
        <v>42766.389246514111</v>
      </c>
    </row>
    <row r="14" spans="1:12" x14ac:dyDescent="0.35">
      <c r="A14">
        <v>20278.422198281842</v>
      </c>
      <c r="B14">
        <v>21083.315589897407</v>
      </c>
      <c r="C14">
        <v>21822.099821178694</v>
      </c>
      <c r="D14">
        <v>22605.135276588037</v>
      </c>
      <c r="E14">
        <v>23591.221548541598</v>
      </c>
      <c r="F14">
        <v>24880.254533976418</v>
      </c>
      <c r="G14">
        <v>26503.086729321636</v>
      </c>
      <c r="H14">
        <v>28395.512892269802</v>
      </c>
      <c r="I14">
        <v>30383.529324735075</v>
      </c>
      <c r="J14">
        <v>32226.939347431748</v>
      </c>
      <c r="K14">
        <v>33757.458970949468</v>
      </c>
      <c r="L14">
        <v>34902.004311351113</v>
      </c>
    </row>
    <row r="15" spans="1:12" x14ac:dyDescent="0.35">
      <c r="A15">
        <v>12042.979182179899</v>
      </c>
      <c r="B15">
        <v>12773.791262184384</v>
      </c>
      <c r="C15">
        <v>13617.894827498827</v>
      </c>
      <c r="D15">
        <v>14520.098509890033</v>
      </c>
      <c r="E15">
        <v>15419.014546229266</v>
      </c>
      <c r="F15">
        <v>16277.212865423906</v>
      </c>
      <c r="G15">
        <v>17054.282901698778</v>
      </c>
      <c r="H15">
        <v>17782.678162504726</v>
      </c>
      <c r="I15">
        <v>18553.533573789708</v>
      </c>
      <c r="J15">
        <v>19490.446812933438</v>
      </c>
      <c r="K15">
        <v>20666.682416140458</v>
      </c>
      <c r="L15">
        <v>22127.943192507824</v>
      </c>
    </row>
    <row r="16" spans="1:12" x14ac:dyDescent="0.35">
      <c r="A16">
        <v>14256.007026038606</v>
      </c>
      <c r="B16">
        <v>14673.049255470778</v>
      </c>
      <c r="C16">
        <v>15189.171635308549</v>
      </c>
      <c r="D16">
        <v>15806.673871872146</v>
      </c>
      <c r="E16">
        <v>16546.156429315382</v>
      </c>
      <c r="F16">
        <v>17427.454817905971</v>
      </c>
      <c r="G16">
        <v>18459.798038345292</v>
      </c>
      <c r="H16">
        <v>19650.174406517683</v>
      </c>
      <c r="I16">
        <v>20964.763881355866</v>
      </c>
      <c r="J16">
        <v>22357.064236887541</v>
      </c>
      <c r="K16">
        <v>23794.468216626039</v>
      </c>
      <c r="L16">
        <v>25270.178983658232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2D3-4092-47B8-BC30-91863E1EAE3A}">
  <dimension ref="A1:R35"/>
  <sheetViews>
    <sheetView workbookViewId="0">
      <selection activeCell="E11" sqref="E11"/>
    </sheetView>
  </sheetViews>
  <sheetFormatPr defaultRowHeight="23" x14ac:dyDescent="0.95"/>
  <cols>
    <col min="1" max="1" width="8.81640625" style="1" bestFit="1" customWidth="1"/>
    <col min="2" max="2" width="8.81640625" style="12" bestFit="1" customWidth="1"/>
    <col min="3" max="3" width="15.08984375" style="5" bestFit="1" customWidth="1"/>
    <col min="4" max="4" width="13.36328125" style="5" bestFit="1" customWidth="1"/>
    <col min="5" max="6" width="15.08984375" style="5" bestFit="1" customWidth="1"/>
    <col min="7" max="7" width="8.81640625" style="1" bestFit="1" customWidth="1"/>
    <col min="8" max="8" width="8.54296875" style="1" bestFit="1" customWidth="1"/>
    <col min="9" max="9" width="15.81640625" style="1" bestFit="1" customWidth="1"/>
    <col min="10" max="10" width="18.08984375" style="1" bestFit="1" customWidth="1"/>
    <col min="11" max="11" width="15.453125" style="1" bestFit="1" customWidth="1"/>
    <col min="12" max="12" width="14.81640625" style="1" bestFit="1" customWidth="1"/>
    <col min="13" max="13" width="11.54296875" style="1" bestFit="1" customWidth="1"/>
    <col min="14" max="14" width="12.26953125" style="1" bestFit="1" customWidth="1"/>
    <col min="15" max="18" width="8.7265625" style="1"/>
  </cols>
  <sheetData>
    <row r="1" spans="1:14" x14ac:dyDescent="0.95">
      <c r="A1" s="1" t="s">
        <v>18</v>
      </c>
      <c r="D1" s="5" t="s">
        <v>19</v>
      </c>
      <c r="H1" s="1" t="s">
        <v>22</v>
      </c>
    </row>
    <row r="2" spans="1:14" x14ac:dyDescent="0.95">
      <c r="B2" s="12" t="s">
        <v>20</v>
      </c>
      <c r="C2" s="5" t="s">
        <v>8</v>
      </c>
      <c r="D2" s="5" t="s">
        <v>9</v>
      </c>
      <c r="E2" s="5" t="s">
        <v>10</v>
      </c>
      <c r="F2" s="5" t="s">
        <v>21</v>
      </c>
      <c r="H2" s="1" t="s">
        <v>7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95">
      <c r="A3" s="11">
        <v>1998</v>
      </c>
      <c r="G3" s="11">
        <v>1998</v>
      </c>
      <c r="H3" s="12">
        <f>B3</f>
        <v>0</v>
      </c>
      <c r="I3" s="1" t="e">
        <f>D3/(C3+E3)*100</f>
        <v>#DIV/0!</v>
      </c>
      <c r="J3" s="1" t="e">
        <f>(C3+E3)/D3*100</f>
        <v>#DIV/0!</v>
      </c>
      <c r="K3" s="1" t="e">
        <f>C3/(C3+E3)*100</f>
        <v>#DIV/0!</v>
      </c>
      <c r="L3" s="1" t="e">
        <f>100-K3</f>
        <v>#DIV/0!</v>
      </c>
      <c r="M3" s="8">
        <v>0.65</v>
      </c>
      <c r="N3" s="8">
        <v>1.55</v>
      </c>
    </row>
    <row r="4" spans="1:14" x14ac:dyDescent="0.95">
      <c r="A4" s="11">
        <v>1999</v>
      </c>
      <c r="G4" s="11">
        <v>1999</v>
      </c>
      <c r="H4" s="12">
        <f t="shared" ref="H4:H35" si="0">B4</f>
        <v>0</v>
      </c>
      <c r="I4" s="1" t="e">
        <f t="shared" ref="I4:I35" si="1">D4/(C4+E4)*100</f>
        <v>#DIV/0!</v>
      </c>
      <c r="J4" s="1" t="e">
        <f t="shared" ref="J4:J35" si="2">(C4+E4)/D4*100</f>
        <v>#DIV/0!</v>
      </c>
      <c r="K4" s="1" t="e">
        <f t="shared" ref="K4:K35" si="3">C4/(C4+E4)*100</f>
        <v>#DIV/0!</v>
      </c>
      <c r="L4" s="1" t="e">
        <f t="shared" ref="L4:L35" si="4">100-K4</f>
        <v>#DIV/0!</v>
      </c>
      <c r="M4" s="8">
        <v>0.65</v>
      </c>
      <c r="N4" s="8">
        <v>1.55</v>
      </c>
    </row>
    <row r="5" spans="1:14" x14ac:dyDescent="0.95">
      <c r="A5" s="11">
        <v>2000</v>
      </c>
      <c r="G5" s="11">
        <v>2000</v>
      </c>
      <c r="H5" s="12">
        <f t="shared" si="0"/>
        <v>0</v>
      </c>
      <c r="I5" s="1" t="e">
        <f t="shared" si="1"/>
        <v>#DIV/0!</v>
      </c>
      <c r="J5" s="1" t="e">
        <f t="shared" si="2"/>
        <v>#DIV/0!</v>
      </c>
      <c r="K5" s="1" t="e">
        <f t="shared" si="3"/>
        <v>#DIV/0!</v>
      </c>
      <c r="L5" s="1" t="e">
        <f t="shared" si="4"/>
        <v>#DIV/0!</v>
      </c>
      <c r="M5" s="8">
        <v>0.65</v>
      </c>
      <c r="N5" s="8">
        <v>1.55</v>
      </c>
    </row>
    <row r="6" spans="1:14" x14ac:dyDescent="0.95">
      <c r="A6" s="11">
        <v>2001</v>
      </c>
      <c r="G6" s="11">
        <v>2001</v>
      </c>
      <c r="H6" s="12">
        <f t="shared" si="0"/>
        <v>0</v>
      </c>
      <c r="I6" s="1" t="e">
        <f t="shared" si="1"/>
        <v>#DIV/0!</v>
      </c>
      <c r="J6" s="1" t="e">
        <f t="shared" si="2"/>
        <v>#DIV/0!</v>
      </c>
      <c r="K6" s="1" t="e">
        <f t="shared" si="3"/>
        <v>#DIV/0!</v>
      </c>
      <c r="L6" s="1" t="e">
        <f t="shared" si="4"/>
        <v>#DIV/0!</v>
      </c>
      <c r="M6" s="8">
        <v>0.65</v>
      </c>
      <c r="N6" s="8">
        <v>1.55</v>
      </c>
    </row>
    <row r="7" spans="1:14" x14ac:dyDescent="0.95">
      <c r="A7" s="11">
        <v>2002</v>
      </c>
      <c r="G7" s="11">
        <v>2002</v>
      </c>
      <c r="H7" s="12">
        <f t="shared" si="0"/>
        <v>0</v>
      </c>
      <c r="I7" s="1" t="e">
        <f t="shared" si="1"/>
        <v>#DIV/0!</v>
      </c>
      <c r="J7" s="1" t="e">
        <f t="shared" si="2"/>
        <v>#DIV/0!</v>
      </c>
      <c r="K7" s="1" t="e">
        <f t="shared" si="3"/>
        <v>#DIV/0!</v>
      </c>
      <c r="L7" s="1" t="e">
        <f t="shared" si="4"/>
        <v>#DIV/0!</v>
      </c>
      <c r="M7" s="8">
        <v>0.65</v>
      </c>
      <c r="N7" s="8">
        <v>1.55</v>
      </c>
    </row>
    <row r="8" spans="1:14" x14ac:dyDescent="0.95">
      <c r="A8" s="11">
        <v>2003</v>
      </c>
      <c r="G8" s="11">
        <v>2003</v>
      </c>
      <c r="H8" s="12">
        <f t="shared" si="0"/>
        <v>0</v>
      </c>
      <c r="I8" s="1" t="e">
        <f t="shared" si="1"/>
        <v>#DIV/0!</v>
      </c>
      <c r="J8" s="1" t="e">
        <f t="shared" si="2"/>
        <v>#DIV/0!</v>
      </c>
      <c r="K8" s="1" t="e">
        <f t="shared" si="3"/>
        <v>#DIV/0!</v>
      </c>
      <c r="L8" s="1" t="e">
        <f t="shared" si="4"/>
        <v>#DIV/0!</v>
      </c>
      <c r="M8" s="8">
        <v>0.65</v>
      </c>
      <c r="N8" s="8">
        <v>1.55</v>
      </c>
    </row>
    <row r="9" spans="1:14" x14ac:dyDescent="0.95">
      <c r="A9" s="11">
        <v>2004</v>
      </c>
      <c r="G9" s="11">
        <v>2004</v>
      </c>
      <c r="H9" s="12">
        <f t="shared" si="0"/>
        <v>0</v>
      </c>
      <c r="I9" s="1" t="e">
        <f t="shared" si="1"/>
        <v>#DIV/0!</v>
      </c>
      <c r="J9" s="1" t="e">
        <f t="shared" si="2"/>
        <v>#DIV/0!</v>
      </c>
      <c r="K9" s="1" t="e">
        <f t="shared" si="3"/>
        <v>#DIV/0!</v>
      </c>
      <c r="L9" s="1" t="e">
        <f t="shared" si="4"/>
        <v>#DIV/0!</v>
      </c>
      <c r="M9" s="8">
        <v>0.65</v>
      </c>
      <c r="N9" s="8">
        <v>1.55</v>
      </c>
    </row>
    <row r="10" spans="1:14" x14ac:dyDescent="0.95">
      <c r="A10" s="11">
        <v>2005</v>
      </c>
      <c r="G10" s="11">
        <v>2005</v>
      </c>
      <c r="H10" s="12">
        <f t="shared" si="0"/>
        <v>0</v>
      </c>
      <c r="I10" s="1" t="e">
        <f t="shared" si="1"/>
        <v>#DIV/0!</v>
      </c>
      <c r="J10" s="1" t="e">
        <f t="shared" si="2"/>
        <v>#DIV/0!</v>
      </c>
      <c r="K10" s="1" t="e">
        <f t="shared" si="3"/>
        <v>#DIV/0!</v>
      </c>
      <c r="L10" s="1" t="e">
        <f t="shared" si="4"/>
        <v>#DIV/0!</v>
      </c>
      <c r="M10" s="8">
        <v>0.65</v>
      </c>
      <c r="N10" s="8">
        <v>1.55</v>
      </c>
    </row>
    <row r="11" spans="1:14" x14ac:dyDescent="0.95">
      <c r="A11" s="11">
        <v>2006</v>
      </c>
      <c r="G11" s="11">
        <v>2006</v>
      </c>
      <c r="H11" s="12">
        <f t="shared" si="0"/>
        <v>0</v>
      </c>
      <c r="I11" s="1" t="e">
        <f t="shared" si="1"/>
        <v>#DIV/0!</v>
      </c>
      <c r="J11" s="1" t="e">
        <f t="shared" si="2"/>
        <v>#DIV/0!</v>
      </c>
      <c r="K11" s="1" t="e">
        <f t="shared" si="3"/>
        <v>#DIV/0!</v>
      </c>
      <c r="L11" s="1" t="e">
        <f t="shared" si="4"/>
        <v>#DIV/0!</v>
      </c>
      <c r="M11" s="8">
        <v>0.65</v>
      </c>
      <c r="N11" s="8">
        <v>1.55</v>
      </c>
    </row>
    <row r="12" spans="1:14" x14ac:dyDescent="0.95">
      <c r="A12" s="11">
        <v>2007</v>
      </c>
      <c r="G12" s="11">
        <v>2007</v>
      </c>
      <c r="H12" s="12">
        <f t="shared" si="0"/>
        <v>0</v>
      </c>
      <c r="I12" s="1" t="e">
        <f t="shared" si="1"/>
        <v>#DIV/0!</v>
      </c>
      <c r="J12" s="1" t="e">
        <f t="shared" si="2"/>
        <v>#DIV/0!</v>
      </c>
      <c r="K12" s="1" t="e">
        <f t="shared" si="3"/>
        <v>#DIV/0!</v>
      </c>
      <c r="L12" s="1" t="e">
        <f t="shared" si="4"/>
        <v>#DIV/0!</v>
      </c>
      <c r="M12" s="8">
        <v>0.65</v>
      </c>
      <c r="N12" s="8">
        <v>1.55</v>
      </c>
    </row>
    <row r="13" spans="1:14" x14ac:dyDescent="0.95">
      <c r="A13" s="11">
        <v>2008</v>
      </c>
      <c r="G13" s="11">
        <v>2008</v>
      </c>
      <c r="H13" s="12">
        <f t="shared" si="0"/>
        <v>0</v>
      </c>
      <c r="I13" s="1" t="e">
        <f t="shared" si="1"/>
        <v>#DIV/0!</v>
      </c>
      <c r="J13" s="1" t="e">
        <f t="shared" si="2"/>
        <v>#DIV/0!</v>
      </c>
      <c r="K13" s="1" t="e">
        <f t="shared" si="3"/>
        <v>#DIV/0!</v>
      </c>
      <c r="L13" s="1" t="e">
        <f t="shared" si="4"/>
        <v>#DIV/0!</v>
      </c>
      <c r="M13" s="8">
        <v>0.65</v>
      </c>
      <c r="N13" s="8">
        <v>1.55</v>
      </c>
    </row>
    <row r="14" spans="1:14" x14ac:dyDescent="0.95">
      <c r="A14" s="11">
        <v>2009</v>
      </c>
      <c r="G14" s="11">
        <v>2009</v>
      </c>
      <c r="H14" s="12">
        <f t="shared" si="0"/>
        <v>0</v>
      </c>
      <c r="I14" s="1" t="e">
        <f t="shared" si="1"/>
        <v>#DIV/0!</v>
      </c>
      <c r="J14" s="1" t="e">
        <f t="shared" si="2"/>
        <v>#DIV/0!</v>
      </c>
      <c r="K14" s="1" t="e">
        <f t="shared" si="3"/>
        <v>#DIV/0!</v>
      </c>
      <c r="L14" s="1" t="e">
        <f t="shared" si="4"/>
        <v>#DIV/0!</v>
      </c>
      <c r="M14" s="8">
        <v>0.65</v>
      </c>
      <c r="N14" s="8">
        <v>1.55</v>
      </c>
    </row>
    <row r="15" spans="1:14" x14ac:dyDescent="0.95">
      <c r="A15" s="11">
        <v>2010</v>
      </c>
      <c r="G15" s="11">
        <v>2010</v>
      </c>
      <c r="H15" s="12">
        <f t="shared" si="0"/>
        <v>0</v>
      </c>
      <c r="I15" s="1" t="e">
        <f t="shared" si="1"/>
        <v>#DIV/0!</v>
      </c>
      <c r="J15" s="1" t="e">
        <f t="shared" si="2"/>
        <v>#DIV/0!</v>
      </c>
      <c r="K15" s="1" t="e">
        <f t="shared" si="3"/>
        <v>#DIV/0!</v>
      </c>
      <c r="L15" s="1" t="e">
        <f t="shared" si="4"/>
        <v>#DIV/0!</v>
      </c>
      <c r="M15" s="8">
        <v>0.65</v>
      </c>
      <c r="N15" s="8">
        <v>1.55</v>
      </c>
    </row>
    <row r="16" spans="1:14" x14ac:dyDescent="0.95">
      <c r="A16" s="11">
        <v>2011</v>
      </c>
      <c r="G16" s="11">
        <v>2011</v>
      </c>
      <c r="H16" s="12">
        <f t="shared" si="0"/>
        <v>0</v>
      </c>
      <c r="I16" s="1" t="e">
        <f t="shared" si="1"/>
        <v>#DIV/0!</v>
      </c>
      <c r="J16" s="1" t="e">
        <f t="shared" si="2"/>
        <v>#DIV/0!</v>
      </c>
      <c r="K16" s="1" t="e">
        <f t="shared" si="3"/>
        <v>#DIV/0!</v>
      </c>
      <c r="L16" s="1" t="e">
        <f t="shared" si="4"/>
        <v>#DIV/0!</v>
      </c>
      <c r="M16" s="8">
        <v>0.65</v>
      </c>
      <c r="N16" s="8">
        <v>1.55</v>
      </c>
    </row>
    <row r="17" spans="1:14" x14ac:dyDescent="0.95">
      <c r="A17" s="11">
        <v>2012</v>
      </c>
      <c r="G17" s="11">
        <v>2012</v>
      </c>
      <c r="H17" s="12">
        <f t="shared" si="0"/>
        <v>0</v>
      </c>
      <c r="I17" s="1" t="e">
        <f t="shared" si="1"/>
        <v>#DIV/0!</v>
      </c>
      <c r="J17" s="1" t="e">
        <f t="shared" si="2"/>
        <v>#DIV/0!</v>
      </c>
      <c r="K17" s="1" t="e">
        <f t="shared" si="3"/>
        <v>#DIV/0!</v>
      </c>
      <c r="L17" s="1" t="e">
        <f t="shared" si="4"/>
        <v>#DIV/0!</v>
      </c>
      <c r="M17" s="8">
        <v>0.65</v>
      </c>
      <c r="N17" s="8">
        <v>1.55</v>
      </c>
    </row>
    <row r="18" spans="1:14" x14ac:dyDescent="0.95">
      <c r="A18" s="11">
        <v>2013</v>
      </c>
      <c r="G18" s="11">
        <v>2013</v>
      </c>
      <c r="H18" s="12">
        <f t="shared" si="0"/>
        <v>0</v>
      </c>
      <c r="I18" s="1" t="e">
        <f t="shared" si="1"/>
        <v>#DIV/0!</v>
      </c>
      <c r="J18" s="1" t="e">
        <f t="shared" si="2"/>
        <v>#DIV/0!</v>
      </c>
      <c r="K18" s="1" t="e">
        <f t="shared" si="3"/>
        <v>#DIV/0!</v>
      </c>
      <c r="L18" s="1" t="e">
        <f t="shared" si="4"/>
        <v>#DIV/0!</v>
      </c>
      <c r="M18" s="8">
        <v>0.65</v>
      </c>
      <c r="N18" s="8">
        <v>1.55</v>
      </c>
    </row>
    <row r="19" spans="1:14" x14ac:dyDescent="0.95">
      <c r="A19" s="11">
        <v>2014</v>
      </c>
      <c r="G19" s="11">
        <v>2014</v>
      </c>
      <c r="H19" s="12">
        <f t="shared" si="0"/>
        <v>0</v>
      </c>
      <c r="I19" s="1" t="e">
        <f t="shared" si="1"/>
        <v>#DIV/0!</v>
      </c>
      <c r="J19" s="1" t="e">
        <f t="shared" si="2"/>
        <v>#DIV/0!</v>
      </c>
      <c r="K19" s="1" t="e">
        <f t="shared" si="3"/>
        <v>#DIV/0!</v>
      </c>
      <c r="L19" s="1" t="e">
        <f t="shared" si="4"/>
        <v>#DIV/0!</v>
      </c>
      <c r="M19" s="8">
        <v>0.65</v>
      </c>
      <c r="N19" s="8">
        <v>1.55</v>
      </c>
    </row>
    <row r="20" spans="1:14" x14ac:dyDescent="0.95">
      <c r="A20" s="11">
        <v>2015</v>
      </c>
      <c r="G20" s="11">
        <v>2015</v>
      </c>
      <c r="H20" s="12">
        <f t="shared" si="0"/>
        <v>0</v>
      </c>
      <c r="I20" s="1" t="e">
        <f t="shared" si="1"/>
        <v>#DIV/0!</v>
      </c>
      <c r="J20" s="1" t="e">
        <f t="shared" si="2"/>
        <v>#DIV/0!</v>
      </c>
      <c r="K20" s="1" t="e">
        <f t="shared" si="3"/>
        <v>#DIV/0!</v>
      </c>
      <c r="L20" s="1" t="e">
        <f t="shared" si="4"/>
        <v>#DIV/0!</v>
      </c>
      <c r="M20" s="8">
        <v>0.65</v>
      </c>
      <c r="N20" s="8">
        <v>1.55</v>
      </c>
    </row>
    <row r="21" spans="1:14" x14ac:dyDescent="0.95">
      <c r="A21" s="11">
        <v>2016</v>
      </c>
      <c r="G21" s="11">
        <v>2016</v>
      </c>
      <c r="H21" s="12">
        <f t="shared" si="0"/>
        <v>0</v>
      </c>
      <c r="I21" s="1" t="e">
        <f t="shared" si="1"/>
        <v>#DIV/0!</v>
      </c>
      <c r="J21" s="1" t="e">
        <f t="shared" si="2"/>
        <v>#DIV/0!</v>
      </c>
      <c r="K21" s="1" t="e">
        <f t="shared" si="3"/>
        <v>#DIV/0!</v>
      </c>
      <c r="L21" s="1" t="e">
        <f t="shared" si="4"/>
        <v>#DIV/0!</v>
      </c>
      <c r="M21" s="8">
        <v>0.65</v>
      </c>
      <c r="N21" s="8">
        <v>1.55</v>
      </c>
    </row>
    <row r="22" spans="1:14" x14ac:dyDescent="0.95">
      <c r="A22" s="11">
        <v>2017</v>
      </c>
      <c r="G22" s="11">
        <v>2017</v>
      </c>
      <c r="H22" s="12">
        <f t="shared" si="0"/>
        <v>0</v>
      </c>
      <c r="I22" s="1" t="e">
        <f t="shared" si="1"/>
        <v>#DIV/0!</v>
      </c>
      <c r="J22" s="1" t="e">
        <f t="shared" si="2"/>
        <v>#DIV/0!</v>
      </c>
      <c r="K22" s="1" t="e">
        <f t="shared" si="3"/>
        <v>#DIV/0!</v>
      </c>
      <c r="L22" s="1" t="e">
        <f t="shared" si="4"/>
        <v>#DIV/0!</v>
      </c>
      <c r="M22" s="8">
        <v>0.65</v>
      </c>
      <c r="N22" s="8">
        <v>1.55</v>
      </c>
    </row>
    <row r="23" spans="1:14" x14ac:dyDescent="0.95">
      <c r="A23" s="11">
        <v>2018</v>
      </c>
      <c r="G23" s="11">
        <v>2018</v>
      </c>
      <c r="H23" s="12">
        <f t="shared" si="0"/>
        <v>0</v>
      </c>
      <c r="I23" s="1" t="e">
        <f t="shared" si="1"/>
        <v>#DIV/0!</v>
      </c>
      <c r="J23" s="1" t="e">
        <f t="shared" si="2"/>
        <v>#DIV/0!</v>
      </c>
      <c r="K23" s="1" t="e">
        <f t="shared" si="3"/>
        <v>#DIV/0!</v>
      </c>
      <c r="L23" s="1" t="e">
        <f t="shared" si="4"/>
        <v>#DIV/0!</v>
      </c>
      <c r="M23" s="8">
        <v>0.65</v>
      </c>
      <c r="N23" s="8">
        <v>1.55</v>
      </c>
    </row>
    <row r="24" spans="1:14" x14ac:dyDescent="0.95">
      <c r="A24" s="11">
        <v>2019</v>
      </c>
      <c r="G24" s="11">
        <v>2019</v>
      </c>
      <c r="H24" s="12">
        <f t="shared" si="0"/>
        <v>0</v>
      </c>
      <c r="I24" s="1" t="e">
        <f t="shared" si="1"/>
        <v>#DIV/0!</v>
      </c>
      <c r="J24" s="1" t="e">
        <f t="shared" si="2"/>
        <v>#DIV/0!</v>
      </c>
      <c r="K24" s="1" t="e">
        <f t="shared" si="3"/>
        <v>#DIV/0!</v>
      </c>
      <c r="L24" s="1" t="e">
        <f t="shared" si="4"/>
        <v>#DIV/0!</v>
      </c>
      <c r="M24" s="8">
        <v>0.65</v>
      </c>
      <c r="N24" s="8">
        <v>1.55</v>
      </c>
    </row>
    <row r="25" spans="1:14" x14ac:dyDescent="0.95">
      <c r="A25" s="11">
        <v>2020</v>
      </c>
      <c r="G25" s="11">
        <v>2020</v>
      </c>
      <c r="H25" s="12">
        <f t="shared" si="0"/>
        <v>0</v>
      </c>
      <c r="I25" s="1" t="e">
        <f t="shared" si="1"/>
        <v>#DIV/0!</v>
      </c>
      <c r="J25" s="1" t="e">
        <f t="shared" si="2"/>
        <v>#DIV/0!</v>
      </c>
      <c r="K25" s="1" t="e">
        <f t="shared" si="3"/>
        <v>#DIV/0!</v>
      </c>
      <c r="L25" s="1" t="e">
        <f t="shared" si="4"/>
        <v>#DIV/0!</v>
      </c>
      <c r="M25" s="8">
        <v>0.65</v>
      </c>
      <c r="N25" s="8">
        <v>1.55</v>
      </c>
    </row>
    <row r="26" spans="1:14" x14ac:dyDescent="0.95">
      <c r="A26" s="11">
        <v>2021</v>
      </c>
      <c r="G26" s="11">
        <v>2021</v>
      </c>
      <c r="H26" s="12">
        <f t="shared" si="0"/>
        <v>0</v>
      </c>
      <c r="I26" s="1" t="e">
        <f t="shared" si="1"/>
        <v>#DIV/0!</v>
      </c>
      <c r="J26" s="1" t="e">
        <f t="shared" si="2"/>
        <v>#DIV/0!</v>
      </c>
      <c r="K26" s="1" t="e">
        <f t="shared" si="3"/>
        <v>#DIV/0!</v>
      </c>
      <c r="L26" s="1" t="e">
        <f t="shared" si="4"/>
        <v>#DIV/0!</v>
      </c>
      <c r="M26" s="8">
        <v>0.65</v>
      </c>
      <c r="N26" s="8">
        <v>1.55</v>
      </c>
    </row>
    <row r="27" spans="1:14" x14ac:dyDescent="0.95">
      <c r="A27" s="11">
        <v>2022</v>
      </c>
      <c r="G27" s="11">
        <v>2022</v>
      </c>
      <c r="H27" s="12">
        <f t="shared" si="0"/>
        <v>0</v>
      </c>
      <c r="I27" s="1" t="e">
        <f t="shared" si="1"/>
        <v>#DIV/0!</v>
      </c>
      <c r="J27" s="1" t="e">
        <f t="shared" si="2"/>
        <v>#DIV/0!</v>
      </c>
      <c r="K27" s="1" t="e">
        <f t="shared" si="3"/>
        <v>#DIV/0!</v>
      </c>
      <c r="L27" s="1" t="e">
        <f t="shared" si="4"/>
        <v>#DIV/0!</v>
      </c>
      <c r="M27" s="8">
        <v>0.65</v>
      </c>
      <c r="N27" s="8">
        <v>1.55</v>
      </c>
    </row>
    <row r="28" spans="1:14" x14ac:dyDescent="0.95">
      <c r="A28" s="11">
        <v>2023</v>
      </c>
      <c r="G28" s="11">
        <v>2023</v>
      </c>
      <c r="H28" s="12">
        <f t="shared" si="0"/>
        <v>0</v>
      </c>
      <c r="I28" s="1" t="e">
        <f t="shared" si="1"/>
        <v>#DIV/0!</v>
      </c>
      <c r="J28" s="1" t="e">
        <f t="shared" si="2"/>
        <v>#DIV/0!</v>
      </c>
      <c r="K28" s="1" t="e">
        <f t="shared" si="3"/>
        <v>#DIV/0!</v>
      </c>
      <c r="L28" s="1" t="e">
        <f t="shared" si="4"/>
        <v>#DIV/0!</v>
      </c>
      <c r="M28" s="8">
        <v>0.65</v>
      </c>
      <c r="N28" s="8">
        <v>1.55</v>
      </c>
    </row>
    <row r="29" spans="1:14" x14ac:dyDescent="0.95">
      <c r="A29" s="11">
        <v>2024</v>
      </c>
      <c r="G29" s="11">
        <v>2024</v>
      </c>
      <c r="H29" s="12">
        <f t="shared" si="0"/>
        <v>0</v>
      </c>
      <c r="I29" s="1" t="e">
        <f t="shared" si="1"/>
        <v>#DIV/0!</v>
      </c>
      <c r="J29" s="1" t="e">
        <f t="shared" si="2"/>
        <v>#DIV/0!</v>
      </c>
      <c r="K29" s="1" t="e">
        <f t="shared" si="3"/>
        <v>#DIV/0!</v>
      </c>
      <c r="L29" s="1" t="e">
        <f t="shared" si="4"/>
        <v>#DIV/0!</v>
      </c>
      <c r="M29" s="8">
        <v>0.65</v>
      </c>
      <c r="N29" s="8">
        <v>1.55</v>
      </c>
    </row>
    <row r="30" spans="1:14" x14ac:dyDescent="0.95">
      <c r="A30" s="11">
        <v>2025</v>
      </c>
      <c r="G30" s="11">
        <v>2025</v>
      </c>
      <c r="H30" s="12">
        <f t="shared" si="0"/>
        <v>0</v>
      </c>
      <c r="I30" s="1" t="e">
        <f t="shared" si="1"/>
        <v>#DIV/0!</v>
      </c>
      <c r="J30" s="1" t="e">
        <f t="shared" si="2"/>
        <v>#DIV/0!</v>
      </c>
      <c r="K30" s="1" t="e">
        <f t="shared" si="3"/>
        <v>#DIV/0!</v>
      </c>
      <c r="L30" s="1" t="e">
        <f t="shared" si="4"/>
        <v>#DIV/0!</v>
      </c>
      <c r="M30" s="8">
        <v>0.65</v>
      </c>
      <c r="N30" s="8">
        <v>1.55</v>
      </c>
    </row>
    <row r="31" spans="1:14" x14ac:dyDescent="0.95">
      <c r="A31" s="11">
        <v>2026</v>
      </c>
      <c r="G31" s="11">
        <v>2026</v>
      </c>
      <c r="H31" s="12">
        <f t="shared" si="0"/>
        <v>0</v>
      </c>
      <c r="I31" s="1" t="e">
        <f t="shared" si="1"/>
        <v>#DIV/0!</v>
      </c>
      <c r="J31" s="1" t="e">
        <f t="shared" si="2"/>
        <v>#DIV/0!</v>
      </c>
      <c r="K31" s="1" t="e">
        <f t="shared" si="3"/>
        <v>#DIV/0!</v>
      </c>
      <c r="L31" s="1" t="e">
        <f t="shared" si="4"/>
        <v>#DIV/0!</v>
      </c>
      <c r="M31" s="8">
        <v>0.65</v>
      </c>
      <c r="N31" s="8">
        <v>1.55</v>
      </c>
    </row>
    <row r="32" spans="1:14" x14ac:dyDescent="0.95">
      <c r="A32" s="11">
        <v>2027</v>
      </c>
      <c r="G32" s="11">
        <v>2027</v>
      </c>
      <c r="H32" s="12">
        <f t="shared" si="0"/>
        <v>0</v>
      </c>
      <c r="I32" s="1" t="e">
        <f t="shared" si="1"/>
        <v>#DIV/0!</v>
      </c>
      <c r="J32" s="1" t="e">
        <f t="shared" si="2"/>
        <v>#DIV/0!</v>
      </c>
      <c r="K32" s="1" t="e">
        <f t="shared" si="3"/>
        <v>#DIV/0!</v>
      </c>
      <c r="L32" s="1" t="e">
        <f t="shared" si="4"/>
        <v>#DIV/0!</v>
      </c>
      <c r="M32" s="8">
        <v>0.65</v>
      </c>
      <c r="N32" s="8">
        <v>1.55</v>
      </c>
    </row>
    <row r="33" spans="1:14" x14ac:dyDescent="0.95">
      <c r="A33" s="11">
        <v>2028</v>
      </c>
      <c r="G33" s="11">
        <v>2028</v>
      </c>
      <c r="H33" s="12">
        <f t="shared" si="0"/>
        <v>0</v>
      </c>
      <c r="I33" s="1" t="e">
        <f t="shared" si="1"/>
        <v>#DIV/0!</v>
      </c>
      <c r="J33" s="1" t="e">
        <f t="shared" si="2"/>
        <v>#DIV/0!</v>
      </c>
      <c r="K33" s="1" t="e">
        <f t="shared" si="3"/>
        <v>#DIV/0!</v>
      </c>
      <c r="L33" s="1" t="e">
        <f t="shared" si="4"/>
        <v>#DIV/0!</v>
      </c>
      <c r="M33" s="8">
        <v>0.65</v>
      </c>
      <c r="N33" s="8">
        <v>1.55</v>
      </c>
    </row>
    <row r="34" spans="1:14" x14ac:dyDescent="0.95">
      <c r="A34" s="11">
        <v>2029</v>
      </c>
      <c r="G34" s="11">
        <v>2029</v>
      </c>
      <c r="H34" s="12">
        <f t="shared" si="0"/>
        <v>0</v>
      </c>
      <c r="I34" s="1" t="e">
        <f t="shared" si="1"/>
        <v>#DIV/0!</v>
      </c>
      <c r="J34" s="1" t="e">
        <f t="shared" si="2"/>
        <v>#DIV/0!</v>
      </c>
      <c r="K34" s="1" t="e">
        <f t="shared" si="3"/>
        <v>#DIV/0!</v>
      </c>
      <c r="L34" s="1" t="e">
        <f t="shared" si="4"/>
        <v>#DIV/0!</v>
      </c>
      <c r="M34" s="8">
        <v>0.65</v>
      </c>
      <c r="N34" s="8">
        <v>1.55</v>
      </c>
    </row>
    <row r="35" spans="1:14" x14ac:dyDescent="0.95">
      <c r="A35" s="11">
        <v>2030</v>
      </c>
      <c r="G35" s="11">
        <v>2030</v>
      </c>
      <c r="H35" s="12">
        <f t="shared" si="0"/>
        <v>0</v>
      </c>
      <c r="I35" s="1" t="e">
        <f t="shared" si="1"/>
        <v>#DIV/0!</v>
      </c>
      <c r="J35" s="1" t="e">
        <f t="shared" si="2"/>
        <v>#DIV/0!</v>
      </c>
      <c r="K35" s="1" t="e">
        <f t="shared" si="3"/>
        <v>#DIV/0!</v>
      </c>
      <c r="L35" s="1" t="e">
        <f t="shared" si="4"/>
        <v>#DIV/0!</v>
      </c>
      <c r="M35" s="8">
        <v>0.65</v>
      </c>
      <c r="N35" s="8">
        <v>1.55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B56A-F3EE-4BFB-BFD5-70C100C5E6C8}">
  <dimension ref="A1:A3"/>
  <sheetViews>
    <sheetView workbookViewId="0">
      <selection activeCell="B8" sqref="B8"/>
    </sheetView>
  </sheetViews>
  <sheetFormatPr defaultRowHeight="14.5" x14ac:dyDescent="0.35"/>
  <sheetData>
    <row r="1" spans="1:1" x14ac:dyDescent="0.35">
      <c r="A1" t="s">
        <v>28</v>
      </c>
    </row>
    <row r="2" spans="1:1" x14ac:dyDescent="0.35">
      <c r="A2" t="s">
        <v>29</v>
      </c>
    </row>
    <row r="3" spans="1:1" x14ac:dyDescent="0.3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3F pop (15-64) DR</vt:lpstr>
      <vt:lpstr>Projected TFR</vt:lpstr>
      <vt:lpstr>Projected LE</vt:lpstr>
      <vt:lpstr>Projected AGR</vt:lpstr>
      <vt:lpstr>Projected Pop</vt:lpstr>
      <vt:lpstr>Projected Pop (2)</vt:lpstr>
      <vt:lpstr>Sheet2</vt:lpstr>
      <vt:lpstr>template 1</vt:lpstr>
      <vt:lpstr>Note2 projections</vt:lpstr>
      <vt:lpstr>'3F pop (15-64)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Poch Bunnak</dc:creator>
  <cp:lastModifiedBy>Poch Bunnak</cp:lastModifiedBy>
  <dcterms:created xsi:type="dcterms:W3CDTF">2023-06-04T22:06:57Z</dcterms:created>
  <dcterms:modified xsi:type="dcterms:W3CDTF">2023-06-05T04:05:20Z</dcterms:modified>
</cp:coreProperties>
</file>